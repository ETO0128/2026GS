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351bfd2cd4c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b04d3444a1e3424b"/>
    <x:sheet xmlns:r="http://schemas.openxmlformats.org/officeDocument/2006/relationships" name="时序数据" sheetId="2" r:id="Rbe542deffd9c4ed1"/>
    <x:sheet xmlns:r="http://schemas.openxmlformats.org/officeDocument/2006/relationships" name="模型口径" sheetId="3" r:id="Rdfbafbd5b4f841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00"/>
    <x:numFmt numFmtId="201" formatCode="0.00%"/>
    <x:numFmt numFmtId="202" formatCode="0"/>
    <x:numFmt numFmtId="203" formatCode="0.00E+00"/>
    <x:numFmt numFmtId="204" formatCode="0.0000"/>
  </x:numFmts>
  <x:fonts count="6">
    <x:font>
      <x:sz val="11"/>
      <x:name val="Carlito"/>
    </x:font>
    <x:font>
      <x:sz val="10"/>
      <x:color rgb="FF1F2937"/>
      <x:name val="Arial"/>
    </x:font>
    <x:font>
      <x:b/>
      <x:sz val="15"/>
      <x:color rgb="FF1F4E78"/>
      <x:name val="Arial"/>
    </x:font>
    <x:font>
      <x:i/>
      <x:sz val="10"/>
      <x:color rgb="FF5F6B7A"/>
      <x:name val="Arial"/>
    </x:font>
    <x:font>
      <x:b/>
      <x:sz val="10"/>
      <x:color rgb="FF1F4E78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2F4F7"/>
      </x:patternFill>
    </x:fill>
    <x:fill>
      <x:patternFill patternType="solid">
        <x:fgColor rgb="FFFAFBFC"/>
      </x:patternFill>
    </x:fill>
  </x:fills>
  <x:borders count="11">
    <x:border/>
    <x:border>
      <x:bottom style="medium">
        <x:color rgb="FF1F4E78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right style="thin">
        <x:color rgb="FFFFFFFF"/>
      </x:right>
      <x:bottom style="medium">
        <x:color rgb="FF1F4E78"/>
      </x:bottom>
    </x:border>
    <x:border>
      <x:left style="thin">
        <x:color rgb="FFFFFFFF"/>
      </x:left>
      <x:right style="thin">
        <x:color rgb="FFFFFFFF"/>
      </x:right>
      <x:bottom style="medium">
        <x:color rgb="FF1F4E78"/>
      </x:bottom>
    </x:border>
    <x:border>
      <x:left style="thin">
        <x:color rgb="FFFFFFFF"/>
      </x:left>
      <x:bottom style="medium">
        <x:color rgb="FF1F4E78"/>
      </x:bottom>
    </x:border>
    <x:border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top style="thin">
        <x:color rgb="FFD9E1E8"/>
      </x:top>
      <x:bottom style="thin">
        <x:color rgb="FF9FBAD0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4" xfId="0" applyNumberFormat="1" applyFont="1" applyFill="1" applyBorder="1"/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5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horizontal="center" wrapText="1"/>
    </x:xf>
    <x:xf numFmtId="0" fontId="5" fillId="3" borderId="6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horizont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200" fontId="1" fillId="0" borderId="8" xfId="0" applyNumberFormat="1" applyFont="1" applyFill="1" applyBorder="1"/>
    <x:xf numFmtId="200" fontId="1" fillId="0" borderId="9" xfId="0" applyNumberFormat="1" applyFont="1" applyFill="1" applyBorder="1"/>
    <x:xf numFmtId="201" fontId="1" fillId="0" borderId="9" xfId="0" applyNumberFormat="1" applyFont="1" applyFill="1" applyBorder="1"/>
    <x:xf numFmtId="200" fontId="1" fillId="0" borderId="10" xfId="0" applyNumberFormat="1" applyFont="1" applyFill="1" applyBorder="1"/>
    <x:xf numFmtId="0" fontId="1" fillId="4" borderId="9" xfId="0" applyNumberFormat="1" applyFont="1" applyFill="1" applyBorder="1"/>
    <x:xf numFmtId="200" fontId="1" fillId="4" borderId="9" xfId="0" applyNumberFormat="1" applyFont="1" applyFill="1" applyBorder="1"/>
    <x:xf numFmtId="201" fontId="1" fillId="4" borderId="9" xfId="0" applyNumberFormat="1" applyFont="1" applyFill="1" applyBorder="1"/>
    <x:xf numFmtId="202" fontId="1" fillId="0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8" xfId="0" applyNumberFormat="1" applyFont="1" applyFill="1" applyBorder="1"/>
    <x:xf numFmtId="202" fontId="1" fillId="0" borderId="9" xfId="0" applyNumberFormat="1" applyFont="1" applyFill="1" applyBorder="1"/>
    <x:xf numFmtId="202" fontId="1" fillId="0" borderId="10" xfId="0" applyNumberFormat="1" applyFont="1" applyFill="1" applyBorder="1"/>
    <x:xf numFmtId="203" fontId="1" fillId="0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6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202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202" fontId="1" fillId="0" borderId="10" xfId="0" applyNumberFormat="1" applyFont="1" applyFill="1" applyBorder="1" applyAlignment="1">
      <x:alignment vertical="center"/>
    </x:xf>
    <x:xf numFmtId="200" fontId="1" fillId="0" borderId="10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200" fontId="1" fillId="4" borderId="9" xfId="0" applyNumberFormat="1" applyFont="1" applyFill="1" applyBorder="1" applyAlignment="1">
      <x:alignment vertical="center"/>
    </x:xf>
    <x:xf numFmtId="201" fontId="1" fillId="4" borderId="9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0"/>
    </x:xf>
    <x:xf numFmtId="204" fontId="1" fillId="0" borderId="0" xfId="0" applyNumberFormat="1" applyFont="1" applyFill="1" applyBorder="1"/>
    <x:xf numFmtId="201" fontId="1" fillId="0" borderId="0" xfId="0" applyNumberFormat="1" applyFont="1" applyFill="1" applyBorder="1"/>
    <x:xf numFmtId="204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4" fontId="1" fillId="0" borderId="8" xfId="0" applyNumberFormat="1" applyFont="1" applyFill="1" applyBorder="1"/>
    <x:xf numFmtId="201" fontId="1" fillId="0" borderId="1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04efe4cc004ed2" /><Relationship Type="http://schemas.openxmlformats.org/officeDocument/2006/relationships/theme" Target="/xl/theme/theme1.xml" Id="R38ca0ccfce9c4752" /><Relationship Type="http://schemas.openxmlformats.org/officeDocument/2006/relationships/sharedStrings" Target="/xl/sharedStrings.xml" Id="R234e6f50384b48e9" /><Relationship Type="http://schemas.openxmlformats.org/officeDocument/2006/relationships/worksheet" Target="/xl/worksheets/sheet1.xml" Id="Rb04d3444a1e3424b" /><Relationship Type="http://schemas.openxmlformats.org/officeDocument/2006/relationships/worksheet" Target="/xl/worksheets/sheet2.xml" Id="Rbe542deffd9c4ed1" /><Relationship Type="http://schemas.openxmlformats.org/officeDocument/2006/relationships/worksheet" Target="/xl/worksheets/sheet3.xml" Id="Rdfbafbd5b4f84197" /></Relationships>
</file>

<file path=xl/tables/table1.xml><?xml version="1.0" encoding="utf-8"?>
<x:table xmlns:x="http://schemas.openxmlformats.org/spreadsheetml/2006/main" id="1" name="Question1TimeSeries" displayName="Question1TimeSeries" ref="A5:U149" headerRowCount="1" totalsRowCount="0" totalsRowShown="0">
  <x:tableColumns count="21">
    <x:tableColumn id="1" name="时间段"/>
    <x:tableColumn id="2" name="起始分钟"/>
    <x:tableColumn id="3" name="电价/(元/kWh)"/>
    <x:tableColumn id="4" name="负荷功率/kW"/>
    <x:tableColumn id="5" name="光伏功率/kW"/>
    <x:tableColumn id="6" name="负荷电量/kWh"/>
    <x:tableColumn id="7" name="光伏电量/kWh"/>
    <x:tableColumn id="8" name="净负荷电量/kWh"/>
    <x:tableColumn id="9" name="基准购电量/kWh"/>
    <x:tableColumn id="10" name="优化购电量/kWh"/>
    <x:tableColumn id="11" name="充电量/kWh"/>
    <x:tableColumn id="12" name="放电量/kWh"/>
    <x:tableColumn id="13" name="弃光量/kWh"/>
    <x:tableColumn id="14" name="期初储电量/kWh"/>
    <x:tableColumn id="15" name="期末储电量/kWh"/>
    <x:tableColumn id="16" name="优化购电费用/元"/>
    <x:tableColumn id="17" name="基准购电费用/元"/>
    <x:tableColumn id="18" name="能量平衡残差/kWh"/>
    <x:tableColumn id="19" name="SOC递推残差/kWh"/>
    <x:tableColumn id="20" name="同时充放电标记"/>
    <x:tableColumn id="21" name="期初SOC比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ea7bb5133d4e6f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0" hidden="0" customWidth="1"/>
    <x:col min="4" max="4" width="3" hidden="0" customWidth="1"/>
    <x:col min="5" max="5" width="18" hidden="0" customWidth="1"/>
    <x:col min="6" max="6" width="11" hidden="0" customWidth="1"/>
    <x:col min="7" max="7" width="16" hidden="0" customWidth="1"/>
    <x:col min="8" max="8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28" customHeight="1">
      <x:c r="A2" s="48" t="str">
        <x:v>问题一数据与优化结果汇总</x:v>
      </x:c>
      <x:c r="B2" s="49"/>
      <x:c r="C2" s="49"/>
      <x:c r="D2" s="49"/>
      <x:c r="E2" s="49"/>
      <x:c r="F2" s="49"/>
      <x:c r="G2" s="49"/>
      <x:c r="H2" s="49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 ht="21" customHeight="1">
      <x:c r="A3" s="50" t="str">
        <x:v>供问题二至问题四复用；数据口径与论文问题一保持一致</x:v>
      </x:c>
      <x:c r="B3" s="49"/>
      <x:c r="C3" s="49"/>
      <x:c r="D3" s="49"/>
      <x:c r="E3" s="49"/>
      <x:c r="F3" s="49"/>
      <x:c r="G3" s="49"/>
      <x:c r="H3" s="49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21" customHeight="1">
      <x:c r="A4" s="51"/>
      <x:c r="B4" s="51"/>
      <x:c r="C4" s="51"/>
      <x:c r="D4" s="51"/>
      <x:c r="E4" s="51"/>
      <x:c r="F4" s="51"/>
      <x:c r="G4" s="51"/>
      <x:c r="H4" s="5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21" customHeight="1">
      <x:c r="A5" s="49"/>
      <x:c r="B5" s="49"/>
      <x:c r="C5" s="49"/>
      <x:c r="D5" s="49"/>
      <x:c r="E5" s="49"/>
      <x:c r="F5" s="49"/>
      <x:c r="G5" s="49"/>
      <x:c r="H5" s="49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</x:row>
    <x:row r="6" ht="21" customHeight="1">
      <x:c r="A6" s="10" t="str">
        <x:v>关键指标</x:v>
      </x:c>
      <x:c r="B6" s="11"/>
      <x:c r="C6" s="12"/>
      <x:c r="D6" s="49"/>
      <x:c r="E6" s="10" t="str">
        <x:v>题目指定时段的计划购电量</x:v>
      </x:c>
      <x:c r="F6" s="11"/>
      <x:c r="G6" s="11"/>
      <x:c r="H6" s="12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</x:row>
    <x:row r="7" ht="21" customHeight="1">
      <x:c r="A7" s="24" t="str">
        <x:v>指标</x:v>
      </x:c>
      <x:c r="B7" s="25" t="str">
        <x:v>数值</x:v>
      </x:c>
      <x:c r="C7" s="26" t="str">
        <x:v>单位</x:v>
      </x:c>
      <x:c r="D7" s="49"/>
      <x:c r="E7" s="24" t="str">
        <x:v>时间段</x:v>
      </x:c>
      <x:c r="F7" s="25" t="str">
        <x:v>起始分钟</x:v>
      </x:c>
      <x:c r="G7" s="26" t="str">
        <x:v>购电量/kWh</x:v>
      </x:c>
      <x:c r="H7" s="49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</x:row>
    <x:row r="8" ht="21" customHeight="1">
      <x:c r="A8" s="52" t="str">
        <x:v>全天负荷电量</x:v>
      </x:c>
      <x:c r="B8" s="53" t="n">
        <x:f>SUM('时序数据'!F6:F149)</x:f>
        <x:v>111024.80810000007</x:v>
      </x:c>
      <x:c r="C8" s="52" t="str">
        <x:v>kWh</x:v>
      </x:c>
      <x:c r="D8" s="49"/>
      <x:c r="E8" s="52" t="str">
        <x:v>10:00-10:10</x:v>
      </x:c>
      <x:c r="F8" s="54" t="n">
        <x:v>600</x:v>
      </x:c>
      <x:c r="G8" s="53" t="n">
        <x:f>INDEX('时序数据'!$J$6:$J$149,MATCH(F8,'时序数据'!$B$6:$B$149,0))</x:f>
        <x:v>0</x:v>
      </x:c>
      <x:c r="H8" s="49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</x:row>
    <x:row r="9" ht="21" customHeight="1">
      <x:c r="A9" s="55" t="str">
        <x:v>全天光伏发电量</x:v>
      </x:c>
      <x:c r="B9" s="56" t="n">
        <x:f>SUM('时序数据'!G6:G149)</x:f>
        <x:v>55482.83566666668</x:v>
      </x:c>
      <x:c r="C9" s="55" t="str">
        <x:v>kWh</x:v>
      </x:c>
      <x:c r="D9" s="49"/>
      <x:c r="E9" s="55" t="str">
        <x:v>12:00-12:10</x:v>
      </x:c>
      <x:c r="F9" s="57" t="n">
        <x:v>720</x:v>
      </x:c>
      <x:c r="G9" s="56" t="n">
        <x:f>INDEX('时序数据'!$J$6:$J$149,MATCH(F9,'时序数据'!$B$6:$B$149,0))</x:f>
        <x:v>486.40289999999993</x:v>
      </x:c>
      <x:c r="H9" s="49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</x:row>
    <x:row r="10" ht="21" customHeight="1">
      <x:c r="A10" s="55" t="str">
        <x:v>基准方案购电量</x:v>
      </x:c>
      <x:c r="B10" s="56" t="n">
        <x:f>SUM('时序数据'!I6:I149)</x:f>
        <x:v>61789.93539999999</x:v>
      </x:c>
      <x:c r="C10" s="55" t="str">
        <x:v>kWh</x:v>
      </x:c>
      <x:c r="D10" s="49"/>
      <x:c r="E10" s="55" t="str">
        <x:v>14:00-14:10</x:v>
      </x:c>
      <x:c r="F10" s="57" t="n">
        <x:v>840</x:v>
      </x:c>
      <x:c r="G10" s="56" t="n">
        <x:f>INDEX('时序数据'!$J$6:$J$149,MATCH(F10,'时序数据'!$B$6:$B$149,0))</x:f>
        <x:v>0</x:v>
      </x:c>
      <x:c r="H10" s="49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</x:row>
    <x:row r="11" ht="21" customHeight="1">
      <x:c r="A11" s="55" t="str">
        <x:v>优化方案购电量</x:v>
      </x:c>
      <x:c r="B11" s="56" t="n">
        <x:f>SUM('时序数据'!J6:J149)</x:f>
        <x:v>59482.69899835394</x:v>
      </x:c>
      <x:c r="C11" s="55" t="str">
        <x:v>kWh</x:v>
      </x:c>
      <x:c r="D11" s="49"/>
      <x:c r="E11" s="55" t="str">
        <x:v>16:00-16:10</x:v>
      </x:c>
      <x:c r="F11" s="57" t="n">
        <x:v>960</x:v>
      </x:c>
      <x:c r="G11" s="56" t="n">
        <x:f>INDEX('时序数据'!$J$6:$J$149,MATCH(F11,'时序数据'!$B$6:$B$149,0))</x:f>
        <x:v>394.9314833333333</x:v>
      </x:c>
      <x:c r="H11" s="49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</x:row>
    <x:row r="12" ht="21" customHeight="1">
      <x:c r="A12" s="55" t="str">
        <x:v>基准方案购电费用</x:v>
      </x:c>
      <x:c r="B12" s="56" t="n">
        <x:f>SUM('时序数据'!Q6:Q149)</x:f>
        <x:v>48052.04659084666</x:v>
      </x:c>
      <x:c r="C12" s="55" t="str">
        <x:v>元</x:v>
      </x:c>
      <x:c r="D12" s="49"/>
      <x:c r="E12" s="55" t="str">
        <x:v>18:00-18:10</x:v>
      </x:c>
      <x:c r="F12" s="57" t="n">
        <x:v>1080</x:v>
      </x:c>
      <x:c r="G12" s="56" t="n">
        <x:f>INDEX('时序数据'!$J$6:$J$149,MATCH(F12,'时序数据'!$B$6:$B$149,0))</x:f>
        <x:v>636.9826166666667</x:v>
      </x:c>
      <x:c r="H12" s="49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</x:row>
    <x:row r="13" ht="21" customHeight="1">
      <x:c r="A13" s="55" t="str">
        <x:v>优化方案购电费用</x:v>
      </x:c>
      <x:c r="B13" s="56" t="n">
        <x:f>SUM('时序数据'!P6:P149)</x:f>
        <x:v>35126.84858928964</x:v>
      </x:c>
      <x:c r="C13" s="55" t="str">
        <x:v>元</x:v>
      </x:c>
      <x:c r="D13" s="49"/>
      <x:c r="E13" s="58" t="str">
        <x:v>20:00-20:10</x:v>
      </x:c>
      <x:c r="F13" s="59" t="n">
        <x:v>1200</x:v>
      </x:c>
      <x:c r="G13" s="60" t="n">
        <x:f>INDEX('时序数据'!$J$6:$J$149,MATCH(F13,'时序数据'!$B$6:$B$149,0))</x:f>
        <x:v>0</x:v>
      </x:c>
      <x:c r="H13" s="49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</x:row>
    <x:row r="14" ht="21" customHeight="1">
      <x:c r="A14" s="61" t="str">
        <x:v>节省费用</x:v>
      </x:c>
      <x:c r="B14" s="62" t="n">
        <x:f>B12-B13</x:f>
        <x:v>12925.198001557015</x:v>
      </x:c>
      <x:c r="C14" s="61" t="str">
        <x:v>元</x:v>
      </x:c>
      <x:c r="D14" s="49"/>
      <x:c r="E14" s="49"/>
      <x:c r="F14" s="49"/>
      <x:c r="G14" s="49"/>
      <x:c r="H14" s="49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</x:row>
    <x:row r="15" ht="21" customHeight="1">
      <x:c r="A15" s="61" t="str">
        <x:v>费用降幅</x:v>
      </x:c>
      <x:c r="B15" s="63" t="n">
        <x:f>B14/B12</x:f>
        <x:v>0.2689832987055147</x:v>
      </x:c>
      <x:c r="C15" s="61" t="str">
        <x:v>%</x:v>
      </x:c>
      <x:c r="D15" s="49"/>
      <x:c r="E15" s="10" t="str">
        <x:v>四小时分组的储能运行结果</x:v>
      </x:c>
      <x:c r="F15" s="11"/>
      <x:c r="G15" s="11"/>
      <x:c r="H15" s="12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</x:row>
    <x:row r="16" ht="21" customHeight="1">
      <x:c r="A16" s="55" t="str">
        <x:v>累计充电量</x:v>
      </x:c>
      <x:c r="B16" s="56" t="n">
        <x:f>SUM('时序数据'!K6:K149)</x:f>
        <x:v>20740.666131687267</x:v>
      </x:c>
      <x:c r="C16" s="55" t="str">
        <x:v>kWh</x:v>
      </x:c>
      <x:c r="D16" s="49"/>
      <x:c r="E16" s="24" t="str">
        <x:v>时间段</x:v>
      </x:c>
      <x:c r="F16" s="25" t="str">
        <x:v>起始分钟</x:v>
      </x:c>
      <x:c r="G16" s="25" t="str">
        <x:v>充电量/kWh</x:v>
      </x:c>
      <x:c r="H16" s="26" t="str">
        <x:v>放电量/kWh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</x:row>
    <x:row r="17" ht="21" customHeight="1">
      <x:c r="A17" s="55" t="str">
        <x:v>累计放电量</x:v>
      </x:c>
      <x:c r="B17" s="56" t="n">
        <x:f>SUM('时序数据'!L6:L149)</x:f>
        <x:v>16799.939566666686</x:v>
      </x:c>
      <x:c r="C17" s="55" t="str">
        <x:v>kWh</x:v>
      </x:c>
      <x:c r="D17" s="49"/>
      <x:c r="E17" s="52" t="str">
        <x:v>0:00--4:00</x:v>
      </x:c>
      <x:c r="F17" s="54" t="n">
        <x:v>0</x:v>
      </x:c>
      <x:c r="G17" s="53" t="n">
        <x:f>SUMIFS('时序数据'!$K$6:$K$149,'时序数据'!$B$6:$B$149,"&gt;="&amp;F17,'时序数据'!$B$6:$B$149,"&lt;"&amp;F17+240)</x:f>
        <x:v>4499.999999999999</x:v>
      </x:c>
      <x:c r="H17" s="53" t="n">
        <x:f>SUMIFS('时序数据'!$L$6:$L$149,'时序数据'!$B$6:$B$149,"&gt;="&amp;F17,'时序数据'!$B$6:$B$149,"&lt;"&amp;F17+240)</x:f>
        <x:v>0</x:v>
      </x:c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</x:row>
    <x:row r="18" ht="21" customHeight="1">
      <x:c r="A18" s="55" t="str">
        <x:v>弃光量</x:v>
      </x:c>
      <x:c r="B18" s="56" t="n">
        <x:f>SUM('时序数据'!M6:M149)</x:f>
        <x:v>0</x:v>
      </x:c>
      <x:c r="C18" s="55" t="str">
        <x:v>kWh</x:v>
      </x:c>
      <x:c r="D18" s="49"/>
      <x:c r="E18" s="55" t="str">
        <x:v>4:00--8:00</x:v>
      </x:c>
      <x:c r="F18" s="57" t="n">
        <x:v>240</x:v>
      </x:c>
      <x:c r="G18" s="56" t="n">
        <x:f>SUMIFS('时序数据'!$K$6:$K$149,'时序数据'!$B$6:$B$149,"&gt;="&amp;F18,'时序数据'!$B$6:$B$149,"&lt;"&amp;F18+240)</x:f>
        <x:v>833.3333333333333</x:v>
      </x:c>
      <x:c r="H18" s="56" t="n">
        <x:f>SUMIFS('时序数据'!$L$6:$L$149,'时序数据'!$B$6:$B$149,"&gt;="&amp;F18,'时序数据'!$B$6:$B$149,"&lt;"&amp;F18+240)</x:f>
        <x:v>5947.419750000018</x:v>
      </x:c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</x:row>
    <x:row r="19" ht="21" customHeight="1">
      <x:c r="A19" s="55" t="str">
        <x:v>光伏消纳率</x:v>
      </x:c>
      <x:c r="B19" s="64" t="n">
        <x:f>1-B18/B9</x:f>
        <x:v>1</x:v>
      </x:c>
      <x:c r="C19" s="55" t="str">
        <x:v>%</x:v>
      </x:c>
      <x:c r="D19" s="49"/>
      <x:c r="E19" s="55" t="str">
        <x:v>8:00--12:00</x:v>
      </x:c>
      <x:c r="F19" s="57" t="n">
        <x:v>480</x:v>
      </x:c>
      <x:c r="G19" s="56" t="n">
        <x:f>SUMIFS('时序数据'!$K$6:$K$149,'时序数据'!$B$6:$B$149,"&gt;="&amp;F19,'时序数据'!$B$6:$B$149,"&lt;"&amp;F19+240)</x:f>
        <x:v>3954.630954732538</x:v>
      </x:c>
      <x:c r="H19" s="56" t="n">
        <x:f>SUMIFS('时序数据'!$L$6:$L$149,'时序数据'!$B$6:$B$149,"&gt;="&amp;F19,'时序数据'!$B$6:$B$149,"&lt;"&amp;F19+240)</x:f>
        <x:v>2121.4184333333333</x:v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</x:row>
    <x:row r="20" ht="21" customHeight="1">
      <x:c r="A20" s="55" t="str">
        <x:v>最低储电量</x:v>
      </x:c>
      <x:c r="B20" s="56" t="n">
        <x:f>MIN('时序数据'!N6:O149)</x:f>
        <x:v>1200</x:v>
      </x:c>
      <x:c r="C20" s="55" t="str">
        <x:v>kWh</x:v>
      </x:c>
      <x:c r="D20" s="49"/>
      <x:c r="E20" s="55" t="str">
        <x:v>12:00--16:00</x:v>
      </x:c>
      <x:c r="F20" s="57" t="n">
        <x:v>720</x:v>
      </x:c>
      <x:c r="G20" s="56" t="n">
        <x:f>SUMIFS('时序数据'!$K$6:$K$149,'时序数据'!$B$6:$B$149,"&gt;="&amp;F20,'时序数据'!$B$6:$B$149,"&lt;"&amp;F20+240)</x:f>
        <x:v>6119.368510288064</x:v>
      </x:c>
      <x:c r="H20" s="56" t="n">
        <x:f>SUMIFS('时序数据'!$L$6:$L$149,'时序数据'!$B$6:$B$149,"&gt;="&amp;F20,'时序数据'!$B$6:$B$149,"&lt;"&amp;F20+240)</x:f>
        <x:v>91.1013833333335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</x:row>
    <x:row r="21" ht="21" customHeight="1">
      <x:c r="A21" s="58" t="str">
        <x:v>最高储电量</x:v>
      </x:c>
      <x:c r="B21" s="60" t="n">
        <x:f>MAX('时序数据'!N6:O149)</x:f>
        <x:v>10800</x:v>
      </x:c>
      <x:c r="C21" s="58" t="str">
        <x:v>kWh</x:v>
      </x:c>
      <x:c r="D21" s="49"/>
      <x:c r="E21" s="55" t="str">
        <x:v>16:00--20:00</x:v>
      </x:c>
      <x:c r="F21" s="57" t="n">
        <x:v>960</x:v>
      </x:c>
      <x:c r="G21" s="56" t="n">
        <x:f>SUMIFS('时序数据'!$K$6:$K$149,'时序数据'!$B$6:$B$149,"&gt;="&amp;F21,'时序数据'!$B$6:$B$149,"&lt;"&amp;F21+240)</x:f>
        <x:v>0</x:v>
      </x:c>
      <x:c r="H21" s="56" t="n">
        <x:f>SUMIFS('时序数据'!$L$6:$L$149,'时序数据'!$B$6:$B$149,"&gt;="&amp;F21,'时序数据'!$B$6:$B$149,"&lt;"&amp;F21+240)</x:f>
        <x:v>5068.68685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</x:row>
    <x:row r="22" ht="21" customHeight="1">
      <x:c r="A22" s="49"/>
      <x:c r="B22" s="49"/>
      <x:c r="C22" s="49"/>
      <x:c r="D22" s="49"/>
      <x:c r="E22" s="58" t="str">
        <x:v>20:00--24:00</x:v>
      </x:c>
      <x:c r="F22" s="59" t="n">
        <x:v>1200</x:v>
      </x:c>
      <x:c r="G22" s="60" t="n">
        <x:f>SUMIFS('时序数据'!$K$6:$K$149,'时序数据'!$B$6:$B$149,"&gt;="&amp;F22,'时序数据'!$B$6:$B$149,"&lt;"&amp;F22+240)</x:f>
        <x:v>5333.333333333332</x:v>
      </x:c>
      <x:c r="H22" s="60" t="n">
        <x:f>SUMIFS('时序数据'!$L$6:$L$149,'时序数据'!$B$6:$B$149,"&gt;="&amp;F22,'时序数据'!$B$6:$B$149,"&lt;"&amp;F22+240)</x:f>
        <x:v>3571.31315</x:v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</x:row>
    <x:row r="23" ht="21" customHeight="1">
      <x:c r="A23" s="49"/>
      <x:c r="B23" s="49"/>
      <x:c r="C23" s="49"/>
      <x:c r="D23" s="49"/>
      <x:c r="E23" s="49"/>
      <x:c r="F23" s="49"/>
      <x:c r="G23" s="49"/>
      <x:c r="H23" s="49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</x:row>
    <x:row r="24" ht="21" customHeight="1">
      <x:c r="A24" s="10" t="str">
        <x:v>数值与约束检查</x:v>
      </x:c>
      <x:c r="B24" s="11"/>
      <x:c r="C24" s="12"/>
      <x:c r="D24" s="49"/>
      <x:c r="E24" s="49"/>
      <x:c r="F24" s="49"/>
      <x:c r="G24" s="49"/>
      <x:c r="H24" s="49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  <x:row r="25" ht="21" customHeight="1">
      <x:c r="A25" s="24" t="str">
        <x:v>检查项</x:v>
      </x:c>
      <x:c r="B25" s="25" t="str">
        <x:v>结果</x:v>
      </x:c>
      <x:c r="C25" s="26" t="str">
        <x:v>判定</x:v>
      </x:c>
      <x:c r="D25" s="49"/>
      <x:c r="E25" s="49"/>
      <x:c r="F25" s="49"/>
      <x:c r="G25" s="49"/>
      <x:c r="H25" s="49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</x:row>
    <x:row r="26" ht="21" customHeight="1">
      <x:c r="A26" s="49" t="str">
        <x:v>最大能量平衡残差/kWh</x:v>
      </x:c>
      <x:c r="B26" s="65" t="n">
        <x:f>MAX('时序数据'!R6:R149,-MIN('时序数据'!R6:R149))</x:f>
        <x:v>1.887201506178826e-11</x:v>
      </x:c>
      <x:c r="C26" s="66" t="str">
        <x:f>IF(B26&lt;0.000001,"通过","检查")</x:f>
        <x:v>通过</x:v>
      </x:c>
      <x:c r="D26" s="49"/>
      <x:c r="E26" s="49"/>
      <x:c r="F26" s="49"/>
      <x:c r="G26" s="49"/>
      <x:c r="H26" s="49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</x:row>
    <x:row r="27" ht="21" customHeight="1">
      <x:c r="A27" s="49" t="str">
        <x:v>最大 SOC 递推残差/kWh</x:v>
      </x:c>
      <x:c r="B27" s="65" t="n">
        <x:f>MAX('时序数据'!S6:S149,-MIN('时序数据'!S6:S149))</x:f>
        <x:v>8.313350008393172e-13</x:v>
      </x:c>
      <x:c r="C27" s="66" t="str">
        <x:f>IF(B27&lt;0.000001,"通过","检查")</x:f>
        <x:v>通过</x:v>
      </x:c>
      <x:c r="D27" s="49"/>
      <x:c r="E27" s="49"/>
      <x:c r="F27" s="49"/>
      <x:c r="G27" s="49"/>
      <x:c r="H27" s="49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</x:row>
    <x:row r="28" ht="21" customHeight="1">
      <x:c r="A28" s="49" t="str">
        <x:v>同时充放电时段数</x:v>
      </x:c>
      <x:c r="B28" s="67" t="n">
        <x:f>SUM('时序数据'!T6:T149)</x:f>
        <x:v>0</x:v>
      </x:c>
      <x:c r="C28" s="66" t="str">
        <x:f>IF(B28=0,"通过","检查")</x:f>
        <x:v>通过</x:v>
      </x:c>
      <x:c r="D28" s="49"/>
      <x:c r="E28" s="49"/>
      <x:c r="F28" s="49"/>
      <x:c r="G28" s="49"/>
      <x:c r="H28" s="49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 ht="21" customHeight="1">
      <x:c r="A29" s="49" t="str">
        <x:v>0:00 储电量/kWh</x:v>
      </x:c>
      <x:c r="B29" s="68" t="n">
        <x:f>'时序数据'!N6</x:f>
        <x:v>6000</x:v>
      </x:c>
      <x:c r="C29" s="66" t="str">
        <x:f>IF(ABS(B29-6000)&lt;0.000001,"通过","检查")</x:f>
        <x:v>通过</x:v>
      </x:c>
      <x:c r="D29" s="49"/>
      <x:c r="E29" s="49"/>
      <x:c r="F29" s="49"/>
      <x:c r="G29" s="49"/>
      <x:c r="H29" s="49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</x:row>
    <x:row r="30" ht="21" customHeight="1">
      <x:c r="A30" s="49" t="str">
        <x:v>24:00 储电量/kWh</x:v>
      </x:c>
      <x:c r="B30" s="68" t="n">
        <x:f>'时序数据'!O149</x:f>
        <x:v>6000</x:v>
      </x:c>
      <x:c r="C30" s="66" t="str">
        <x:f>IF(ABS(B30-6000)&lt;0.000001,"通过","检查")</x:f>
        <x:v>通过</x:v>
      </x:c>
      <x:c r="D30" s="49"/>
      <x:c r="E30" s="49"/>
      <x:c r="F30" s="49"/>
      <x:c r="G30" s="49"/>
      <x:c r="H30" s="49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 ht="21" customHeight="1">
      <x:c r="A31" s="49"/>
      <x:c r="B31" s="49"/>
      <x:c r="C31" s="49"/>
      <x:c r="D31" s="49"/>
      <x:c r="E31" s="49"/>
      <x:c r="F31" s="49"/>
      <x:c r="G31" s="49"/>
      <x:c r="H31" s="49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 ht="21" customHeight="1">
      <x:c r="A32" s="69" t="str">
        <x:v>使用说明</x:v>
      </x:c>
      <x:c r="B32" s="69"/>
      <x:c r="C32" s="69"/>
      <x:c r="D32" s="69"/>
      <x:c r="E32" s="69"/>
      <x:c r="F32" s="69"/>
      <x:c r="G32" s="69"/>
      <x:c r="H32" s="69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 ht="21" customHeight="1">
      <x:c r="A33" s="70" t="str">
        <x:v>概览指标由“时序数据”自动汇总；后续问题沿用“模型口径”中的单位、效率和变量定义。</x:v>
      </x:c>
      <x:c r="B33" s="70"/>
      <x:c r="C33" s="70"/>
      <x:c r="D33" s="70"/>
      <x:c r="E33" s="70"/>
      <x:c r="F33" s="70"/>
      <x:c r="G33" s="70"/>
      <x:c r="H33" s="70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 ht="21" customHeight="1">
      <x:c r="A34" s="70" t="str">
        <x:v>基准方案：储能不参与运行，光伏优先满足负荷；优化方案：问题一线性规划结果。</x:v>
      </x:c>
      <x:c r="B34" s="70"/>
      <x:c r="C34" s="70"/>
      <x:c r="D34" s="70"/>
      <x:c r="E34" s="70"/>
      <x:c r="F34" s="70"/>
      <x:c r="G34" s="70"/>
      <x:c r="H34" s="70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8" hidden="0" customWidth="1"/>
    <x:col min="2" max="2" width="10" hidden="0" customWidth="1"/>
    <x:col min="3" max="3" width="15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8" hidden="0" customWidth="1"/>
    <x:col min="19" max="19" width="18" hidden="0" customWidth="1"/>
    <x:col min="20" max="20" width="16" hidden="0" customWidth="1"/>
    <x:col min="21" max="21" width="1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>
      <x:c r="A2" s="2" t="str">
        <x:v>问题一完整时序数据与优化结果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4" t="str">
        <x:v>数据来源：题目附件 1；优化结果：问题一确定性线性规划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 ht="34" customHeight="1">
      <x:c r="A5" s="24" t="str">
        <x:v>时间段</x:v>
      </x:c>
      <x:c r="B5" s="25" t="str">
        <x:v>起始分钟</x:v>
      </x:c>
      <x:c r="C5" s="25" t="str">
        <x:v>电价/(元/kWh)</x:v>
      </x:c>
      <x:c r="D5" s="25" t="str">
        <x:v>负荷功率/kW</x:v>
      </x:c>
      <x:c r="E5" s="25" t="str">
        <x:v>光伏功率/kW</x:v>
      </x:c>
      <x:c r="F5" s="25" t="str">
        <x:v>负荷电量/kWh</x:v>
      </x:c>
      <x:c r="G5" s="25" t="str">
        <x:v>光伏电量/kWh</x:v>
      </x:c>
      <x:c r="H5" s="25" t="str">
        <x:v>净负荷电量/kWh</x:v>
      </x:c>
      <x:c r="I5" s="25" t="str">
        <x:v>基准购电量/kWh</x:v>
      </x:c>
      <x:c r="J5" s="25" t="str">
        <x:v>优化购电量/kWh</x:v>
      </x:c>
      <x:c r="K5" s="25" t="str">
        <x:v>充电量/kWh</x:v>
      </x:c>
      <x:c r="L5" s="25" t="str">
        <x:v>放电量/kWh</x:v>
      </x:c>
      <x:c r="M5" s="25" t="str">
        <x:v>弃光量/kWh</x:v>
      </x:c>
      <x:c r="N5" s="25" t="str">
        <x:v>期初储电量/kWh</x:v>
      </x:c>
      <x:c r="O5" s="25" t="str">
        <x:v>期末储电量/kWh</x:v>
      </x:c>
      <x:c r="P5" s="25" t="str">
        <x:v>优化购电费用/元</x:v>
      </x:c>
      <x:c r="Q5" s="25" t="str">
        <x:v>基准购电费用/元</x:v>
      </x:c>
      <x:c r="R5" s="25" t="str">
        <x:v>能量平衡残差/kWh</x:v>
      </x:c>
      <x:c r="S5" s="25" t="str">
        <x:v>SOC递推残差/kWh</x:v>
      </x:c>
      <x:c r="T5" s="25" t="str">
        <x:v>同时充放电标记</x:v>
      </x:c>
      <x:c r="U5" s="26" t="str">
        <x:v>期初SOC比例</x:v>
      </x:c>
    </x:row>
    <x:row r="6">
      <x:c r="A6" s="49" t="str">
        <x:v>0:00-0:10</x:v>
      </x:c>
      <x:c r="B6" s="67" t="n">
        <x:v>0</x:v>
      </x:c>
      <x:c r="C6" s="73" t="n">
        <x:v>0.4276</x:v>
      </x:c>
      <x:c r="D6" s="68" t="n">
        <x:v>3444.7259</x:v>
      </x:c>
      <x:c r="E6" s="68" t="n">
        <x:v>0</x:v>
      </x:c>
      <x:c r="F6" s="68" t="n">
        <x:v>574.1209833333332</x:v>
      </x:c>
      <x:c r="G6" s="68" t="n">
        <x:v>0</x:v>
      </x:c>
      <x:c r="H6" s="68" t="n">
        <x:v>574.1209833333332</x:v>
      </x:c>
      <x:c r="I6" s="68" t="n">
        <x:v>574.1209833333332</x:v>
      </x:c>
      <x:c r="J6" s="68" t="n">
        <x:v>907.4543166666666</x:v>
      </x:c>
      <x:c r="K6" s="68" t="n">
        <x:v>333.3333333333333</x:v>
      </x:c>
      <x:c r="L6" s="68" t="n">
        <x:v>0</x:v>
      </x:c>
      <x:c r="M6" s="68" t="n">
        <x:v>0</x:v>
      </x:c>
      <x:c r="N6" s="68" t="n">
        <x:v>6000</x:v>
      </x:c>
      <x:c r="O6" s="68" t="n">
        <x:v>6300</x:v>
      </x:c>
      <x:c r="P6" s="68" t="n">
        <x:f>C6*J6</x:f>
        <x:v>388.0274658066666</x:v>
      </x:c>
      <x:c r="Q6" s="68" t="n">
        <x:f>C6*I6</x:f>
        <x:v>245.49413247333328</x:v>
      </x:c>
      <x:c r="R6" s="65" t="n">
        <x:f>J6+G6+L6-F6-K6-M6</x:f>
        <x:v>5.684341886080802e-14</x:v>
      </x:c>
      <x:c r="S6" s="65" t="n">
        <x:f>O6-N6-0.9*K6+L6/0.9</x:f>
        <x:v>0</x:v>
      </x:c>
      <x:c r="T6" s="67" t="n">
        <x:f>IF(AND(K6&gt;0.00001,L6&gt;0.00001),1,0)</x:f>
        <x:v>0</x:v>
      </x:c>
      <x:c r="U6" s="74" t="n">
        <x:f>N6/12000</x:f>
        <x:v>0.5</x:v>
      </x:c>
    </x:row>
    <x:row r="7">
      <x:c r="A7" s="49" t="str">
        <x:v>0:10-0:20</x:v>
      </x:c>
      <x:c r="B7" s="67" t="n">
        <x:v>10</x:v>
      </x:c>
      <x:c r="C7" s="73" t="n">
        <x:v>0.4248</x:v>
      </x:c>
      <x:c r="D7" s="68" t="n">
        <x:v>3439.8466</x:v>
      </x:c>
      <x:c r="E7" s="68" t="n">
        <x:v>0</x:v>
      </x:c>
      <x:c r="F7" s="68" t="n">
        <x:v>573.3077666666666</x:v>
      </x:c>
      <x:c r="G7" s="68" t="n">
        <x:v>0</x:v>
      </x:c>
      <x:c r="H7" s="68" t="n">
        <x:v>573.3077666666666</x:v>
      </x:c>
      <x:c r="I7" s="68" t="n">
        <x:v>573.3077666666666</x:v>
      </x:c>
      <x:c r="J7" s="68" t="n">
        <x:v>1406.6410999999998</x:v>
      </x:c>
      <x:c r="K7" s="68" t="n">
        <x:v>833.3333333333333</x:v>
      </x:c>
      <x:c r="L7" s="68" t="n">
        <x:v>0</x:v>
      </x:c>
      <x:c r="M7" s="68" t="n">
        <x:v>0</x:v>
      </x:c>
      <x:c r="N7" s="68" t="n">
        <x:v>6300</x:v>
      </x:c>
      <x:c r="O7" s="68" t="n">
        <x:v>7050</x:v>
      </x:c>
      <x:c r="P7" s="68" t="n">
        <x:f>C7*J7</x:f>
        <x:v>597.5411392799999</x:v>
      </x:c>
      <x:c r="Q7" s="68" t="n">
        <x:f>C7*I7</x:f>
        <x:v>243.54113927999995</x:v>
      </x:c>
      <x:c r="R7" s="65" t="n">
        <x:f>J7+G7+L7-F7-K7-M7</x:f>
        <x:v>0</x:v>
      </x:c>
      <x:c r="S7" s="65" t="n">
        <x:f>O7-N7-0.9*K7+L7/0.9</x:f>
        <x:v>0</x:v>
      </x:c>
      <x:c r="T7" s="67" t="n">
        <x:f>IF(AND(K7&gt;0.00001,L7&gt;0.00001),1,0)</x:f>
        <x:v>0</x:v>
      </x:c>
      <x:c r="U7" s="74" t="n">
        <x:f>N7/12000</x:f>
        <x:v>0.525</x:v>
      </x:c>
    </x:row>
    <x:row r="8">
      <x:c r="A8" s="49" t="str">
        <x:v>0:20-0:30</x:v>
      </x:c>
      <x:c r="B8" s="67" t="n">
        <x:v>20</x:v>
      </x:c>
      <x:c r="C8" s="73" t="n">
        <x:v>0.4245</x:v>
      </x:c>
      <x:c r="D8" s="68" t="n">
        <x:v>3437.9792</x:v>
      </x:c>
      <x:c r="E8" s="68" t="n">
        <x:v>0</x:v>
      </x:c>
      <x:c r="F8" s="68" t="n">
        <x:v>572.9965333333333</x:v>
      </x:c>
      <x:c r="G8" s="68" t="n">
        <x:v>0</x:v>
      </x:c>
      <x:c r="H8" s="68" t="n">
        <x:v>572.9965333333333</x:v>
      </x:c>
      <x:c r="I8" s="68" t="n">
        <x:v>572.9965333333333</x:v>
      </x:c>
      <x:c r="J8" s="68" t="n">
        <x:v>1406.3298666666665</x:v>
      </x:c>
      <x:c r="K8" s="68" t="n">
        <x:v>833.3333333333333</x:v>
      </x:c>
      <x:c r="L8" s="68" t="n">
        <x:v>0</x:v>
      </x:c>
      <x:c r="M8" s="68" t="n">
        <x:v>0</x:v>
      </x:c>
      <x:c r="N8" s="68" t="n">
        <x:v>7050</x:v>
      </x:c>
      <x:c r="O8" s="68" t="n">
        <x:v>7800</x:v>
      </x:c>
      <x:c r="P8" s="68" t="n">
        <x:f>C8*J8</x:f>
        <x:v>596.9870283999999</x:v>
      </x:c>
      <x:c r="Q8" s="68" t="n">
        <x:f>C8*I8</x:f>
        <x:v>243.23702839999999</x:v>
      </x:c>
      <x:c r="R8" s="65" t="n">
        <x:f>J8+G8+L8-F8-K8-M8</x:f>
        <x:v>-1.1368683772161603e-13</x:v>
      </x:c>
      <x:c r="S8" s="65" t="n">
        <x:f>O8-N8-0.9*K8+L8/0.9</x:f>
        <x:v>0</x:v>
      </x:c>
      <x:c r="T8" s="67" t="n">
        <x:f>IF(AND(K8&gt;0.00001,L8&gt;0.00001),1,0)</x:f>
        <x:v>0</x:v>
      </x:c>
      <x:c r="U8" s="74" t="n">
        <x:f>N8/12000</x:f>
        <x:v>0.5875</x:v>
      </x:c>
    </x:row>
    <x:row r="9">
      <x:c r="A9" s="49" t="str">
        <x:v>0:30-0:40</x:v>
      </x:c>
      <x:c r="B9" s="67" t="n">
        <x:v>30</x:v>
      </x:c>
      <x:c r="C9" s="73" t="n">
        <x:v>0.4269</x:v>
      </x:c>
      <x:c r="D9" s="68" t="n">
        <x:v>3444.3031</x:v>
      </x:c>
      <x:c r="E9" s="68" t="n">
        <x:v>0</x:v>
      </x:c>
      <x:c r="F9" s="68" t="n">
        <x:v>574.0505166666667</x:v>
      </x:c>
      <x:c r="G9" s="68" t="n">
        <x:v>0</x:v>
      </x:c>
      <x:c r="H9" s="68" t="n">
        <x:v>574.0505166666667</x:v>
      </x:c>
      <x:c r="I9" s="68" t="n">
        <x:v>574.0505166666667</x:v>
      </x:c>
      <x:c r="J9" s="68" t="n">
        <x:v>1407.38385</x:v>
      </x:c>
      <x:c r="K9" s="68" t="n">
        <x:v>833.3333333333333</x:v>
      </x:c>
      <x:c r="L9" s="68" t="n">
        <x:v>0</x:v>
      </x:c>
      <x:c r="M9" s="68" t="n">
        <x:v>0</x:v>
      </x:c>
      <x:c r="N9" s="68" t="n">
        <x:v>7800</x:v>
      </x:c>
      <x:c r="O9" s="68" t="n">
        <x:v>8550</x:v>
      </x:c>
      <x:c r="P9" s="68" t="n">
        <x:f>C9*J9</x:f>
        <x:v>600.812165565</x:v>
      </x:c>
      <x:c r="Q9" s="68" t="n">
        <x:f>C9*I9</x:f>
        <x:v>245.06216556500002</x:v>
      </x:c>
      <x:c r="R9" s="65" t="n">
        <x:f>J9+G9+L9-F9-K9-M9</x:f>
        <x:v>0</x:v>
      </x:c>
      <x:c r="S9" s="65" t="n">
        <x:f>O9-N9-0.9*K9+L9/0.9</x:f>
        <x:v>0</x:v>
      </x:c>
      <x:c r="T9" s="67" t="n">
        <x:f>IF(AND(K9&gt;0.00001,L9&gt;0.00001),1,0)</x:f>
        <x:v>0</x:v>
      </x:c>
      <x:c r="U9" s="74" t="n">
        <x:f>N9/12000</x:f>
        <x:v>0.65</x:v>
      </x:c>
    </x:row>
    <x:row r="10">
      <x:c r="A10" s="49" t="str">
        <x:v>0:40-0:50</x:v>
      </x:c>
      <x:c r="B10" s="67" t="n">
        <x:v>40</x:v>
      </x:c>
      <x:c r="C10" s="73" t="n">
        <x:v>0.4272</x:v>
      </x:c>
      <x:c r="D10" s="68" t="n">
        <x:v>3454.4437</x:v>
      </x:c>
      <x:c r="E10" s="68" t="n">
        <x:v>0</x:v>
      </x:c>
      <x:c r="F10" s="68" t="n">
        <x:v>575.7406166666666</x:v>
      </x:c>
      <x:c r="G10" s="68" t="n">
        <x:v>0</x:v>
      </x:c>
      <x:c r="H10" s="68" t="n">
        <x:v>575.7406166666666</x:v>
      </x:c>
      <x:c r="I10" s="68" t="n">
        <x:v>575.7406166666666</x:v>
      </x:c>
      <x:c r="J10" s="68" t="n">
        <x:v>1409.07395</x:v>
      </x:c>
      <x:c r="K10" s="68" t="n">
        <x:v>833.3333333333333</x:v>
      </x:c>
      <x:c r="L10" s="68" t="n">
        <x:v>0</x:v>
      </x:c>
      <x:c r="M10" s="68" t="n">
        <x:v>0</x:v>
      </x:c>
      <x:c r="N10" s="68" t="n">
        <x:v>8550</x:v>
      </x:c>
      <x:c r="O10" s="68" t="n">
        <x:v>9300</x:v>
      </x:c>
      <x:c r="P10" s="68" t="n">
        <x:f>C10*J10</x:f>
        <x:v>601.9563914400001</x:v>
      </x:c>
      <x:c r="Q10" s="68" t="n">
        <x:f>C10*I10</x:f>
        <x:v>245.95639143999998</x:v>
      </x:c>
      <x:c r="R10" s="65" t="n">
        <x:f>J10+G10+L10-F10-K10-M10</x:f>
        <x:v>1.1368683772161603e-13</x:v>
      </x:c>
      <x:c r="S10" s="65" t="n">
        <x:f>O10-N10-0.9*K10+L10/0.9</x:f>
        <x:v>0</x:v>
      </x:c>
      <x:c r="T10" s="67" t="n">
        <x:f>IF(AND(K10&gt;0.00001,L10&gt;0.00001),1,0)</x:f>
        <x:v>0</x:v>
      </x:c>
      <x:c r="U10" s="74" t="n">
        <x:f>N10/12000</x:f>
        <x:v>0.7125</x:v>
      </x:c>
    </x:row>
    <x:row r="11">
      <x:c r="A11" s="49" t="str">
        <x:v>0:50-1:00</x:v>
      </x:c>
      <x:c r="B11" s="67" t="n">
        <x:v>50</x:v>
      </x:c>
      <x:c r="C11" s="73" t="n">
        <x:v>0.4271</x:v>
      </x:c>
      <x:c r="D11" s="68" t="n">
        <x:v>3458.8273</x:v>
      </x:c>
      <x:c r="E11" s="68" t="n">
        <x:v>0</x:v>
      </x:c>
      <x:c r="F11" s="68" t="n">
        <x:v>576.4712166666666</x:v>
      </x:c>
      <x:c r="G11" s="68" t="n">
        <x:v>0</x:v>
      </x:c>
      <x:c r="H11" s="68" t="n">
        <x:v>576.4712166666666</x:v>
      </x:c>
      <x:c r="I11" s="68" t="n">
        <x:v>576.4712166666666</x:v>
      </x:c>
      <x:c r="J11" s="68" t="n">
        <x:v>1409.8045499999998</x:v>
      </x:c>
      <x:c r="K11" s="68" t="n">
        <x:v>833.3333333333333</x:v>
      </x:c>
      <x:c r="L11" s="68" t="n">
        <x:v>0</x:v>
      </x:c>
      <x:c r="M11" s="68" t="n">
        <x:v>0</x:v>
      </x:c>
      <x:c r="N11" s="68" t="n">
        <x:v>9300</x:v>
      </x:c>
      <x:c r="O11" s="68" t="n">
        <x:v>10050</x:v>
      </x:c>
      <x:c r="P11" s="68" t="n">
        <x:f>C11*J11</x:f>
        <x:v>602.127523305</x:v>
      </x:c>
      <x:c r="Q11" s="68" t="n">
        <x:f>C11*I11</x:f>
        <x:v>246.2108566383333</x:v>
      </x:c>
      <x:c r="R11" s="65" t="n">
        <x:f>J11+G11+L11-F11-K11-M11</x:f>
        <x:v>0</x:v>
      </x:c>
      <x:c r="S11" s="65" t="n">
        <x:f>O11-N11-0.9*K11+L11/0.9</x:f>
        <x:v>0</x:v>
      </x:c>
      <x:c r="T11" s="67" t="n">
        <x:f>IF(AND(K11&gt;0.00001,L11&gt;0.00001),1,0)</x:f>
        <x:v>0</x:v>
      </x:c>
      <x:c r="U11" s="74" t="n">
        <x:f>N11/12000</x:f>
        <x:v>0.775</x:v>
      </x:c>
    </x:row>
    <x:row r="12">
      <x:c r="A12" s="49" t="str">
        <x:v>1:00-1:10</x:v>
      </x:c>
      <x:c r="B12" s="67" t="n">
        <x:v>60</x:v>
      </x:c>
      <x:c r="C12" s="73" t="n">
        <x:v>0.4285</x:v>
      </x:c>
      <x:c r="D12" s="68" t="n">
        <x:v>3459.8401</x:v>
      </x:c>
      <x:c r="E12" s="68" t="n">
        <x:v>0</x:v>
      </x:c>
      <x:c r="F12" s="68" t="n">
        <x:v>576.6400166666666</x:v>
      </x:c>
      <x:c r="G12" s="68" t="n">
        <x:v>0</x:v>
      </x:c>
      <x:c r="H12" s="68" t="n">
        <x:v>576.6400166666666</x:v>
      </x:c>
      <x:c r="I12" s="68" t="n">
        <x:v>576.6400166666666</x:v>
      </x:c>
      <x:c r="J12" s="68" t="n">
        <x:v>576.6400166666666</x:v>
      </x:c>
      <x:c r="K12" s="68" t="n">
        <x:v>0</x:v>
      </x:c>
      <x:c r="L12" s="68" t="n">
        <x:v>0</x:v>
      </x:c>
      <x:c r="M12" s="68" t="n">
        <x:v>0</x:v>
      </x:c>
      <x:c r="N12" s="68" t="n">
        <x:v>10050</x:v>
      </x:c>
      <x:c r="O12" s="68" t="n">
        <x:v>10050</x:v>
      </x:c>
      <x:c r="P12" s="68" t="n">
        <x:f>C12*J12</x:f>
        <x:v>247.09024714166665</x:v>
      </x:c>
      <x:c r="Q12" s="68" t="n">
        <x:f>C12*I12</x:f>
        <x:v>247.09024714166665</x:v>
      </x:c>
      <x:c r="R12" s="65" t="n">
        <x:f>J12+G12+L12-F12-K12-M12</x:f>
        <x:v>0</x:v>
      </x:c>
      <x:c r="S12" s="65" t="n">
        <x:f>O12-N12-0.9*K12+L12/0.9</x:f>
        <x:v>0</x:v>
      </x:c>
      <x:c r="T12" s="67" t="n">
        <x:f>IF(AND(K12&gt;0.00001,L12&gt;0.00001),1,0)</x:f>
        <x:v>0</x:v>
      </x:c>
      <x:c r="U12" s="74" t="n">
        <x:f>N12/12000</x:f>
        <x:v>0.8375</x:v>
      </x:c>
    </x:row>
    <x:row r="13">
      <x:c r="A13" s="49" t="str">
        <x:v>1:10-1:20</x:v>
      </x:c>
      <x:c r="B13" s="67" t="n">
        <x:v>70</x:v>
      </x:c>
      <x:c r="C13" s="73" t="n">
        <x:v>0.4311</x:v>
      </x:c>
      <x:c r="D13" s="68" t="n">
        <x:v>3467.1582</x:v>
      </x:c>
      <x:c r="E13" s="68" t="n">
        <x:v>0</x:v>
      </x:c>
      <x:c r="F13" s="68" t="n">
        <x:v>577.8597</x:v>
      </x:c>
      <x:c r="G13" s="68" t="n">
        <x:v>0</x:v>
      </x:c>
      <x:c r="H13" s="68" t="n">
        <x:v>577.8597</x:v>
      </x:c>
      <x:c r="I13" s="68" t="n">
        <x:v>577.8597</x:v>
      </x:c>
      <x:c r="J13" s="68" t="n">
        <x:v>577.8597</x:v>
      </x:c>
      <x:c r="K13" s="68" t="n">
        <x:v>0</x:v>
      </x:c>
      <x:c r="L13" s="68" t="n">
        <x:v>0</x:v>
      </x:c>
      <x:c r="M13" s="68" t="n">
        <x:v>0</x:v>
      </x:c>
      <x:c r="N13" s="68" t="n">
        <x:v>10050</x:v>
      </x:c>
      <x:c r="O13" s="68" t="n">
        <x:v>10050</x:v>
      </x:c>
      <x:c r="P13" s="68" t="n">
        <x:f>C13*J13</x:f>
        <x:v>249.11531666999997</x:v>
      </x:c>
      <x:c r="Q13" s="68" t="n">
        <x:f>C13*I13</x:f>
        <x:v>249.11531666999997</x:v>
      </x:c>
      <x:c r="R13" s="65" t="n">
        <x:f>J13+G13+L13-F13-K13-M13</x:f>
        <x:v>0</x:v>
      </x:c>
      <x:c r="S13" s="65" t="n">
        <x:f>O13-N13-0.9*K13+L13/0.9</x:f>
        <x:v>0</x:v>
      </x:c>
      <x:c r="T13" s="67" t="n">
        <x:f>IF(AND(K13&gt;0.00001,L13&gt;0.00001),1,0)</x:f>
        <x:v>0</x:v>
      </x:c>
      <x:c r="U13" s="74" t="n">
        <x:f>N13/12000</x:f>
        <x:v>0.8375</x:v>
      </x:c>
    </x:row>
    <x:row r="14">
      <x:c r="A14" s="49" t="str">
        <x:v>1:20-1:30</x:v>
      </x:c>
      <x:c r="B14" s="67" t="n">
        <x:v>80</x:v>
      </x:c>
      <x:c r="C14" s="73" t="n">
        <x:v>0.4302</x:v>
      </x:c>
      <x:c r="D14" s="68" t="n">
        <x:v>3467.9632</x:v>
      </x:c>
      <x:c r="E14" s="68" t="n">
        <x:v>0</x:v>
      </x:c>
      <x:c r="F14" s="68" t="n">
        <x:v>577.9938666666667</x:v>
      </x:c>
      <x:c r="G14" s="68" t="n">
        <x:v>0</x:v>
      </x:c>
      <x:c r="H14" s="68" t="n">
        <x:v>577.9938666666667</x:v>
      </x:c>
      <x:c r="I14" s="68" t="n">
        <x:v>577.9938666666667</x:v>
      </x:c>
      <x:c r="J14" s="68" t="n">
        <x:v>577.9938666666667</x:v>
      </x:c>
      <x:c r="K14" s="68" t="n">
        <x:v>0</x:v>
      </x:c>
      <x:c r="L14" s="68" t="n">
        <x:v>0</x:v>
      </x:c>
      <x:c r="M14" s="68" t="n">
        <x:v>0</x:v>
      </x:c>
      <x:c r="N14" s="68" t="n">
        <x:v>10050</x:v>
      </x:c>
      <x:c r="O14" s="68" t="n">
        <x:v>10050</x:v>
      </x:c>
      <x:c r="P14" s="68" t="n">
        <x:f>C14*J14</x:f>
        <x:v>248.65296144</x:v>
      </x:c>
      <x:c r="Q14" s="68" t="n">
        <x:f>C14*I14</x:f>
        <x:v>248.65296144</x:v>
      </x:c>
      <x:c r="R14" s="65" t="n">
        <x:f>J14+G14+L14-F14-K14-M14</x:f>
        <x:v>0</x:v>
      </x:c>
      <x:c r="S14" s="65" t="n">
        <x:f>O14-N14-0.9*K14+L14/0.9</x:f>
        <x:v>0</x:v>
      </x:c>
      <x:c r="T14" s="67" t="n">
        <x:f>IF(AND(K14&gt;0.00001,L14&gt;0.00001),1,0)</x:f>
        <x:v>0</x:v>
      </x:c>
      <x:c r="U14" s="74" t="n">
        <x:f>N14/12000</x:f>
        <x:v>0.8375</x:v>
      </x:c>
    </x:row>
    <x:row r="15">
      <x:c r="A15" s="49" t="str">
        <x:v>1:30-1:40</x:v>
      </x:c>
      <x:c r="B15" s="67" t="n">
        <x:v>90</x:v>
      </x:c>
      <x:c r="C15" s="73" t="n">
        <x:v>0.4279</x:v>
      </x:c>
      <x:c r="D15" s="68" t="n">
        <x:v>3466.9683</x:v>
      </x:c>
      <x:c r="E15" s="68" t="n">
        <x:v>0</x:v>
      </x:c>
      <x:c r="F15" s="68" t="n">
        <x:v>577.82805</x:v>
      </x:c>
      <x:c r="G15" s="68" t="n">
        <x:v>0</x:v>
      </x:c>
      <x:c r="H15" s="68" t="n">
        <x:v>577.82805</x:v>
      </x:c>
      <x:c r="I15" s="68" t="n">
        <x:v>577.82805</x:v>
      </x:c>
      <x:c r="J15" s="68" t="n">
        <x:v>577.82805</x:v>
      </x:c>
      <x:c r="K15" s="68" t="n">
        <x:v>0</x:v>
      </x:c>
      <x:c r="L15" s="68" t="n">
        <x:v>0</x:v>
      </x:c>
      <x:c r="M15" s="68" t="n">
        <x:v>0</x:v>
      </x:c>
      <x:c r="N15" s="68" t="n">
        <x:v>10050</x:v>
      </x:c>
      <x:c r="O15" s="68" t="n">
        <x:v>10050</x:v>
      </x:c>
      <x:c r="P15" s="68" t="n">
        <x:f>C15*J15</x:f>
        <x:v>247.252622595</x:v>
      </x:c>
      <x:c r="Q15" s="68" t="n">
        <x:f>C15*I15</x:f>
        <x:v>247.252622595</x:v>
      </x:c>
      <x:c r="R15" s="65" t="n">
        <x:f>J15+G15+L15-F15-K15-M15</x:f>
        <x:v>0</x:v>
      </x:c>
      <x:c r="S15" s="65" t="n">
        <x:f>O15-N15-0.9*K15+L15/0.9</x:f>
        <x:v>0</x:v>
      </x:c>
      <x:c r="T15" s="67" t="n">
        <x:f>IF(AND(K15&gt;0.00001,L15&gt;0.00001),1,0)</x:f>
        <x:v>0</x:v>
      </x:c>
      <x:c r="U15" s="74" t="n">
        <x:f>N15/12000</x:f>
        <x:v>0.8375</x:v>
      </x:c>
    </x:row>
    <x:row r="16">
      <x:c r="A16" s="49" t="str">
        <x:v>1:40-1:50</x:v>
      </x:c>
      <x:c r="B16" s="67" t="n">
        <x:v>100</x:v>
      </x:c>
      <x:c r="C16" s="73" t="n">
        <x:v>0.4312</x:v>
      </x:c>
      <x:c r="D16" s="68" t="n">
        <x:v>3482.4927</x:v>
      </x:c>
      <x:c r="E16" s="68" t="n">
        <x:v>0</x:v>
      </x:c>
      <x:c r="F16" s="68" t="n">
        <x:v>580.41545</x:v>
      </x:c>
      <x:c r="G16" s="68" t="n">
        <x:v>0</x:v>
      </x:c>
      <x:c r="H16" s="68" t="n">
        <x:v>580.41545</x:v>
      </x:c>
      <x:c r="I16" s="68" t="n">
        <x:v>580.41545</x:v>
      </x:c>
      <x:c r="J16" s="68" t="n">
        <x:v>580.41545</x:v>
      </x:c>
      <x:c r="K16" s="68" t="n">
        <x:v>0</x:v>
      </x:c>
      <x:c r="L16" s="68" t="n">
        <x:v>0</x:v>
      </x:c>
      <x:c r="M16" s="68" t="n">
        <x:v>0</x:v>
      </x:c>
      <x:c r="N16" s="68" t="n">
        <x:v>10050</x:v>
      </x:c>
      <x:c r="O16" s="68" t="n">
        <x:v>10050</x:v>
      </x:c>
      <x:c r="P16" s="68" t="n">
        <x:f>C16*J16</x:f>
        <x:v>250.27514204</x:v>
      </x:c>
      <x:c r="Q16" s="68" t="n">
        <x:f>C16*I16</x:f>
        <x:v>250.27514204</x:v>
      </x:c>
      <x:c r="R16" s="65" t="n">
        <x:f>J16+G16+L16-F16-K16-M16</x:f>
        <x:v>0</x:v>
      </x:c>
      <x:c r="S16" s="65" t="n">
        <x:f>O16-N16-0.9*K16+L16/0.9</x:f>
        <x:v>0</x:v>
      </x:c>
      <x:c r="T16" s="67" t="n">
        <x:f>IF(AND(K16&gt;0.00001,L16&gt;0.00001),1,0)</x:f>
        <x:v>0</x:v>
      </x:c>
      <x:c r="U16" s="74" t="n">
        <x:f>N16/12000</x:f>
        <x:v>0.8375</x:v>
      </x:c>
    </x:row>
    <x:row r="17">
      <x:c r="A17" s="49" t="str">
        <x:v>1:50-2:00</x:v>
      </x:c>
      <x:c r="B17" s="67" t="n">
        <x:v>110</x:v>
      </x:c>
      <x:c r="C17" s="73" t="n">
        <x:v>0.4333</x:v>
      </x:c>
      <x:c r="D17" s="68" t="n">
        <x:v>3495.0841</x:v>
      </x:c>
      <x:c r="E17" s="68" t="n">
        <x:v>0</x:v>
      </x:c>
      <x:c r="F17" s="68" t="n">
        <x:v>582.5140166666666</x:v>
      </x:c>
      <x:c r="G17" s="68" t="n">
        <x:v>0</x:v>
      </x:c>
      <x:c r="H17" s="68" t="n">
        <x:v>582.5140166666666</x:v>
      </x:c>
      <x:c r="I17" s="68" t="n">
        <x:v>582.5140166666666</x:v>
      </x:c>
      <x:c r="J17" s="68" t="n">
        <x:v>582.5140166666666</x:v>
      </x:c>
      <x:c r="K17" s="68" t="n">
        <x:v>0</x:v>
      </x:c>
      <x:c r="L17" s="68" t="n">
        <x:v>0</x:v>
      </x:c>
      <x:c r="M17" s="68" t="n">
        <x:v>0</x:v>
      </x:c>
      <x:c r="N17" s="68" t="n">
        <x:v>10050</x:v>
      </x:c>
      <x:c r="O17" s="68" t="n">
        <x:v>10050</x:v>
      </x:c>
      <x:c r="P17" s="68" t="n">
        <x:f>C17*J17</x:f>
        <x:v>252.40332342166667</x:v>
      </x:c>
      <x:c r="Q17" s="68" t="n">
        <x:f>C17*I17</x:f>
        <x:v>252.40332342166667</x:v>
      </x:c>
      <x:c r="R17" s="65" t="n">
        <x:f>J17+G17+L17-F17-K17-M17</x:f>
        <x:v>0</x:v>
      </x:c>
      <x:c r="S17" s="65" t="n">
        <x:f>O17-N17-0.9*K17+L17/0.9</x:f>
        <x:v>0</x:v>
      </x:c>
      <x:c r="T17" s="67" t="n">
        <x:f>IF(AND(K17&gt;0.00001,L17&gt;0.00001),1,0)</x:f>
        <x:v>0</x:v>
      </x:c>
      <x:c r="U17" s="74" t="n">
        <x:f>N17/12000</x:f>
        <x:v>0.8375</x:v>
      </x:c>
    </x:row>
    <x:row r="18">
      <x:c r="A18" s="49" t="str">
        <x:v>2:00-2:10</x:v>
      </x:c>
      <x:c r="B18" s="67" t="n">
        <x:v>120</x:v>
      </x:c>
      <x:c r="C18" s="73" t="n">
        <x:v>0.4311</x:v>
      </x:c>
      <x:c r="D18" s="68" t="n">
        <x:v>3498.4443</x:v>
      </x:c>
      <x:c r="E18" s="68" t="n">
        <x:v>0</x:v>
      </x:c>
      <x:c r="F18" s="68" t="n">
        <x:v>583.0740499999999</x:v>
      </x:c>
      <x:c r="G18" s="68" t="n">
        <x:v>0</x:v>
      </x:c>
      <x:c r="H18" s="68" t="n">
        <x:v>583.0740499999999</x:v>
      </x:c>
      <x:c r="I18" s="68" t="n">
        <x:v>583.0740499999999</x:v>
      </x:c>
      <x:c r="J18" s="68" t="n">
        <x:v>583.0740499999999</x:v>
      </x:c>
      <x:c r="K18" s="68" t="n">
        <x:v>0</x:v>
      </x:c>
      <x:c r="L18" s="68" t="n">
        <x:v>0</x:v>
      </x:c>
      <x:c r="M18" s="68" t="n">
        <x:v>0</x:v>
      </x:c>
      <x:c r="N18" s="68" t="n">
        <x:v>10050</x:v>
      </x:c>
      <x:c r="O18" s="68" t="n">
        <x:v>10050</x:v>
      </x:c>
      <x:c r="P18" s="68" t="n">
        <x:f>C18*J18</x:f>
        <x:v>251.36322295499997</x:v>
      </x:c>
      <x:c r="Q18" s="68" t="n">
        <x:f>C18*I18</x:f>
        <x:v>251.36322295499997</x:v>
      </x:c>
      <x:c r="R18" s="65" t="n">
        <x:f>J18+G18+L18-F18-K18-M18</x:f>
        <x:v>0</x:v>
      </x:c>
      <x:c r="S18" s="65" t="n">
        <x:f>O18-N18-0.9*K18+L18/0.9</x:f>
        <x:v>0</x:v>
      </x:c>
      <x:c r="T18" s="67" t="n">
        <x:f>IF(AND(K18&gt;0.00001,L18&gt;0.00001),1,0)</x:f>
        <x:v>0</x:v>
      </x:c>
      <x:c r="U18" s="74" t="n">
        <x:f>N18/12000</x:f>
        <x:v>0.8375</x:v>
      </x:c>
    </x:row>
    <x:row r="19">
      <x:c r="A19" s="49" t="str">
        <x:v>2:10-2:20</x:v>
      </x:c>
      <x:c r="B19" s="67" t="n">
        <x:v>130</x:v>
      </x:c>
      <x:c r="C19" s="73" t="n">
        <x:v>0.4293</x:v>
      </x:c>
      <x:c r="D19" s="68" t="n">
        <x:v>3505.2295</x:v>
      </x:c>
      <x:c r="E19" s="68" t="n">
        <x:v>0</x:v>
      </x:c>
      <x:c r="F19" s="68" t="n">
        <x:v>584.2049166666666</x:v>
      </x:c>
      <x:c r="G19" s="68" t="n">
        <x:v>0</x:v>
      </x:c>
      <x:c r="H19" s="68" t="n">
        <x:v>584.2049166666666</x:v>
      </x:c>
      <x:c r="I19" s="68" t="n">
        <x:v>584.2049166666666</x:v>
      </x:c>
      <x:c r="J19" s="68" t="n">
        <x:v>584.2049166666666</x:v>
      </x:c>
      <x:c r="K19" s="68" t="n">
        <x:v>0</x:v>
      </x:c>
      <x:c r="L19" s="68" t="n">
        <x:v>0</x:v>
      </x:c>
      <x:c r="M19" s="68" t="n">
        <x:v>0</x:v>
      </x:c>
      <x:c r="N19" s="68" t="n">
        <x:v>10050</x:v>
      </x:c>
      <x:c r="O19" s="68" t="n">
        <x:v>10050</x:v>
      </x:c>
      <x:c r="P19" s="68" t="n">
        <x:f>C19*J19</x:f>
        <x:v>250.79917072499998</x:v>
      </x:c>
      <x:c r="Q19" s="68" t="n">
        <x:f>C19*I19</x:f>
        <x:v>250.79917072499998</x:v>
      </x:c>
      <x:c r="R19" s="65" t="n">
        <x:f>J19+G19+L19-F19-K19-M19</x:f>
        <x:v>0</x:v>
      </x:c>
      <x:c r="S19" s="65" t="n">
        <x:f>O19-N19-0.9*K19+L19/0.9</x:f>
        <x:v>0</x:v>
      </x:c>
      <x:c r="T19" s="67" t="n">
        <x:f>IF(AND(K19&gt;0.00001,L19&gt;0.00001),1,0)</x:f>
        <x:v>0</x:v>
      </x:c>
      <x:c r="U19" s="74" t="n">
        <x:f>N19/12000</x:f>
        <x:v>0.8375</x:v>
      </x:c>
    </x:row>
    <x:row r="20">
      <x:c r="A20" s="49" t="str">
        <x:v>2:20-2:30</x:v>
      </x:c>
      <x:c r="B20" s="67" t="n">
        <x:v>140</x:v>
      </x:c>
      <x:c r="C20" s="73" t="n">
        <x:v>0.4324</x:v>
      </x:c>
      <x:c r="D20" s="68" t="n">
        <x:v>3512.6387</x:v>
      </x:c>
      <x:c r="E20" s="68" t="n">
        <x:v>0</x:v>
      </x:c>
      <x:c r="F20" s="68" t="n">
        <x:v>585.4397833333333</x:v>
      </x:c>
      <x:c r="G20" s="68" t="n">
        <x:v>0</x:v>
      </x:c>
      <x:c r="H20" s="68" t="n">
        <x:v>585.4397833333333</x:v>
      </x:c>
      <x:c r="I20" s="68" t="n">
        <x:v>585.4397833333333</x:v>
      </x:c>
      <x:c r="J20" s="68" t="n">
        <x:v>585.4397833333333</x:v>
      </x:c>
      <x:c r="K20" s="68" t="n">
        <x:v>0</x:v>
      </x:c>
      <x:c r="L20" s="68" t="n">
        <x:v>0</x:v>
      </x:c>
      <x:c r="M20" s="68" t="n">
        <x:v>0</x:v>
      </x:c>
      <x:c r="N20" s="68" t="n">
        <x:v>10050</x:v>
      </x:c>
      <x:c r="O20" s="68" t="n">
        <x:v>10050</x:v>
      </x:c>
      <x:c r="P20" s="68" t="n">
        <x:f>C20*J20</x:f>
        <x:v>253.1441623133333</x:v>
      </x:c>
      <x:c r="Q20" s="68" t="n">
        <x:f>C20*I20</x:f>
        <x:v>253.1441623133333</x:v>
      </x:c>
      <x:c r="R20" s="65" t="n">
        <x:f>J20+G20+L20-F20-K20-M20</x:f>
        <x:v>0</x:v>
      </x:c>
      <x:c r="S20" s="65" t="n">
        <x:f>O20-N20-0.9*K20+L20/0.9</x:f>
        <x:v>0</x:v>
      </x:c>
      <x:c r="T20" s="67" t="n">
        <x:f>IF(AND(K20&gt;0.00001,L20&gt;0.00001),1,0)</x:f>
        <x:v>0</x:v>
      </x:c>
      <x:c r="U20" s="74" t="n">
        <x:f>N20/12000</x:f>
        <x:v>0.8375</x:v>
      </x:c>
    </x:row>
    <x:row r="21">
      <x:c r="A21" s="49" t="str">
        <x:v>2:30-2:40</x:v>
      </x:c>
      <x:c r="B21" s="67" t="n">
        <x:v>150</x:v>
      </x:c>
      <x:c r="C21" s="73" t="n">
        <x:v>0.4367</x:v>
      </x:c>
      <x:c r="D21" s="68" t="n">
        <x:v>3516.8685</x:v>
      </x:c>
      <x:c r="E21" s="68" t="n">
        <x:v>0</x:v>
      </x:c>
      <x:c r="F21" s="68" t="n">
        <x:v>586.1447499999999</x:v>
      </x:c>
      <x:c r="G21" s="68" t="n">
        <x:v>0</x:v>
      </x:c>
      <x:c r="H21" s="68" t="n">
        <x:v>586.1447499999999</x:v>
      </x:c>
      <x:c r="I21" s="68" t="n">
        <x:v>586.1447499999999</x:v>
      </x:c>
      <x:c r="J21" s="68" t="n">
        <x:v>586.1447499999999</x:v>
      </x:c>
      <x:c r="K21" s="68" t="n">
        <x:v>0</x:v>
      </x:c>
      <x:c r="L21" s="68" t="n">
        <x:v>0</x:v>
      </x:c>
      <x:c r="M21" s="68" t="n">
        <x:v>0</x:v>
      </x:c>
      <x:c r="N21" s="68" t="n">
        <x:v>10050</x:v>
      </x:c>
      <x:c r="O21" s="68" t="n">
        <x:v>10050</x:v>
      </x:c>
      <x:c r="P21" s="68" t="n">
        <x:f>C21*J21</x:f>
        <x:v>255.96941232499995</x:v>
      </x:c>
      <x:c r="Q21" s="68" t="n">
        <x:f>C21*I21</x:f>
        <x:v>255.96941232499995</x:v>
      </x:c>
      <x:c r="R21" s="65" t="n">
        <x:f>J21+G21+L21-F21-K21-M21</x:f>
        <x:v>0</x:v>
      </x:c>
      <x:c r="S21" s="65" t="n">
        <x:f>O21-N21-0.9*K21+L21/0.9</x:f>
        <x:v>0</x:v>
      </x:c>
      <x:c r="T21" s="67" t="n">
        <x:f>IF(AND(K21&gt;0.00001,L21&gt;0.00001),1,0)</x:f>
        <x:v>0</x:v>
      </x:c>
      <x:c r="U21" s="74" t="n">
        <x:f>N21/12000</x:f>
        <x:v>0.8375</x:v>
      </x:c>
    </x:row>
    <x:row r="22">
      <x:c r="A22" s="49" t="str">
        <x:v>2:40-2:50</x:v>
      </x:c>
      <x:c r="B22" s="67" t="n">
        <x:v>160</x:v>
      </x:c>
      <x:c r="C22" s="73" t="n">
        <x:v>0.4348</x:v>
      </x:c>
      <x:c r="D22" s="68" t="n">
        <x:v>3517.9246</x:v>
      </x:c>
      <x:c r="E22" s="68" t="n">
        <x:v>0</x:v>
      </x:c>
      <x:c r="F22" s="68" t="n">
        <x:v>586.3207666666666</x:v>
      </x:c>
      <x:c r="G22" s="68" t="n">
        <x:v>0</x:v>
      </x:c>
      <x:c r="H22" s="68" t="n">
        <x:v>586.3207666666666</x:v>
      </x:c>
      <x:c r="I22" s="68" t="n">
        <x:v>586.3207666666666</x:v>
      </x:c>
      <x:c r="J22" s="68" t="n">
        <x:v>586.3207666666666</x:v>
      </x:c>
      <x:c r="K22" s="68" t="n">
        <x:v>0</x:v>
      </x:c>
      <x:c r="L22" s="68" t="n">
        <x:v>0</x:v>
      </x:c>
      <x:c r="M22" s="68" t="n">
        <x:v>0</x:v>
      </x:c>
      <x:c r="N22" s="68" t="n">
        <x:v>10050</x:v>
      </x:c>
      <x:c r="O22" s="68" t="n">
        <x:v>10050</x:v>
      </x:c>
      <x:c r="P22" s="68" t="n">
        <x:f>C22*J22</x:f>
        <x:v>254.93226934666666</x:v>
      </x:c>
      <x:c r="Q22" s="68" t="n">
        <x:f>C22*I22</x:f>
        <x:v>254.93226934666666</x:v>
      </x:c>
      <x:c r="R22" s="65" t="n">
        <x:f>J22+G22+L22-F22-K22-M22</x:f>
        <x:v>0</x:v>
      </x:c>
      <x:c r="S22" s="65" t="n">
        <x:f>O22-N22-0.9*K22+L22/0.9</x:f>
        <x:v>0</x:v>
      </x:c>
      <x:c r="T22" s="67" t="n">
        <x:f>IF(AND(K22&gt;0.00001,L22&gt;0.00001),1,0)</x:f>
        <x:v>0</x:v>
      </x:c>
      <x:c r="U22" s="74" t="n">
        <x:f>N22/12000</x:f>
        <x:v>0.8375</x:v>
      </x:c>
    </x:row>
    <x:row r="23">
      <x:c r="A23" s="49" t="str">
        <x:v>2:50-3:00</x:v>
      </x:c>
      <x:c r="B23" s="67" t="n">
        <x:v>170</x:v>
      </x:c>
      <x:c r="C23" s="73" t="n">
        <x:v>0.4335</x:v>
      </x:c>
      <x:c r="D23" s="68" t="n">
        <x:v>3518.5518</x:v>
      </x:c>
      <x:c r="E23" s="68" t="n">
        <x:v>0</x:v>
      </x:c>
      <x:c r="F23" s="68" t="n">
        <x:v>586.4253</x:v>
      </x:c>
      <x:c r="G23" s="68" t="n">
        <x:v>0</x:v>
      </x:c>
      <x:c r="H23" s="68" t="n">
        <x:v>586.4253</x:v>
      </x:c>
      <x:c r="I23" s="68" t="n">
        <x:v>586.4253</x:v>
      </x:c>
      <x:c r="J23" s="68" t="n">
        <x:v>586.4253</x:v>
      </x:c>
      <x:c r="K23" s="68" t="n">
        <x:v>0</x:v>
      </x:c>
      <x:c r="L23" s="68" t="n">
        <x:v>0</x:v>
      </x:c>
      <x:c r="M23" s="68" t="n">
        <x:v>0</x:v>
      </x:c>
      <x:c r="N23" s="68" t="n">
        <x:v>10050</x:v>
      </x:c>
      <x:c r="O23" s="68" t="n">
        <x:v>10050</x:v>
      </x:c>
      <x:c r="P23" s="68" t="n">
        <x:f>C23*J23</x:f>
        <x:v>254.21536755</x:v>
      </x:c>
      <x:c r="Q23" s="68" t="n">
        <x:f>C23*I23</x:f>
        <x:v>254.21536755</x:v>
      </x:c>
      <x:c r="R23" s="65" t="n">
        <x:f>J23+G23+L23-F23-K23-M23</x:f>
        <x:v>0</x:v>
      </x:c>
      <x:c r="S23" s="65" t="n">
        <x:f>O23-N23-0.9*K23+L23/0.9</x:f>
        <x:v>0</x:v>
      </x:c>
      <x:c r="T23" s="67" t="n">
        <x:f>IF(AND(K23&gt;0.00001,L23&gt;0.00001),1,0)</x:f>
        <x:v>0</x:v>
      </x:c>
      <x:c r="U23" s="74" t="n">
        <x:f>N23/12000</x:f>
        <x:v>0.8375</x:v>
      </x:c>
    </x:row>
    <x:row r="24">
      <x:c r="A24" s="49" t="str">
        <x:v>3:00-3:10</x:v>
      </x:c>
      <x:c r="B24" s="67" t="n">
        <x:v>180</x:v>
      </x:c>
      <x:c r="C24" s="73" t="n">
        <x:v>0.4357</x:v>
      </x:c>
      <x:c r="D24" s="68" t="n">
        <x:v>3521.0976</x:v>
      </x:c>
      <x:c r="E24" s="68" t="n">
        <x:v>0</x:v>
      </x:c>
      <x:c r="F24" s="68" t="n">
        <x:v>586.8496</x:v>
      </x:c>
      <x:c r="G24" s="68" t="n">
        <x:v>0</x:v>
      </x:c>
      <x:c r="H24" s="68" t="n">
        <x:v>586.8496</x:v>
      </x:c>
      <x:c r="I24" s="68" t="n">
        <x:v>586.8496</x:v>
      </x:c>
      <x:c r="J24" s="68" t="n">
        <x:v>586.8496</x:v>
      </x:c>
      <x:c r="K24" s="68" t="n">
        <x:v>0</x:v>
      </x:c>
      <x:c r="L24" s="68" t="n">
        <x:v>0</x:v>
      </x:c>
      <x:c r="M24" s="68" t="n">
        <x:v>0</x:v>
      </x:c>
      <x:c r="N24" s="68" t="n">
        <x:v>10050</x:v>
      </x:c>
      <x:c r="O24" s="68" t="n">
        <x:v>10050</x:v>
      </x:c>
      <x:c r="P24" s="68" t="n">
        <x:f>C24*J24</x:f>
        <x:v>255.69037072</x:v>
      </x:c>
      <x:c r="Q24" s="68" t="n">
        <x:f>C24*I24</x:f>
        <x:v>255.69037072</x:v>
      </x:c>
      <x:c r="R24" s="65" t="n">
        <x:f>J24+G24+L24-F24-K24-M24</x:f>
        <x:v>0</x:v>
      </x:c>
      <x:c r="S24" s="65" t="n">
        <x:f>O24-N24-0.9*K24+L24/0.9</x:f>
        <x:v>0</x:v>
      </x:c>
      <x:c r="T24" s="67" t="n">
        <x:f>IF(AND(K24&gt;0.00001,L24&gt;0.00001),1,0)</x:f>
        <x:v>0</x:v>
      </x:c>
      <x:c r="U24" s="74" t="n">
        <x:f>N24/12000</x:f>
        <x:v>0.8375</x:v>
      </x:c>
    </x:row>
    <x:row r="25">
      <x:c r="A25" s="49" t="str">
        <x:v>3:10-3:20</x:v>
      </x:c>
      <x:c r="B25" s="67" t="n">
        <x:v>190</x:v>
      </x:c>
      <x:c r="C25" s="73" t="n">
        <x:v>0.4374</x:v>
      </x:c>
      <x:c r="D25" s="68" t="n">
        <x:v>3526.9261</x:v>
      </x:c>
      <x:c r="E25" s="68" t="n">
        <x:v>0</x:v>
      </x:c>
      <x:c r="F25" s="68" t="n">
        <x:v>587.8210166666667</x:v>
      </x:c>
      <x:c r="G25" s="68" t="n">
        <x:v>0</x:v>
      </x:c>
      <x:c r="H25" s="68" t="n">
        <x:v>587.8210166666667</x:v>
      </x:c>
      <x:c r="I25" s="68" t="n">
        <x:v>587.8210166666667</x:v>
      </x:c>
      <x:c r="J25" s="68" t="n">
        <x:v>587.8210166666667</x:v>
      </x:c>
      <x:c r="K25" s="68" t="n">
        <x:v>0</x:v>
      </x:c>
      <x:c r="L25" s="68" t="n">
        <x:v>0</x:v>
      </x:c>
      <x:c r="M25" s="68" t="n">
        <x:v>0</x:v>
      </x:c>
      <x:c r="N25" s="68" t="n">
        <x:v>10050</x:v>
      </x:c>
      <x:c r="O25" s="68" t="n">
        <x:v>10050</x:v>
      </x:c>
      <x:c r="P25" s="68" t="n">
        <x:f>C25*J25</x:f>
        <x:v>257.11291269</x:v>
      </x:c>
      <x:c r="Q25" s="68" t="n">
        <x:f>C25*I25</x:f>
        <x:v>257.11291269</x:v>
      </x:c>
      <x:c r="R25" s="65" t="n">
        <x:f>J25+G25+L25-F25-K25-M25</x:f>
        <x:v>0</x:v>
      </x:c>
      <x:c r="S25" s="65" t="n">
        <x:f>O25-N25-0.9*K25+L25/0.9</x:f>
        <x:v>0</x:v>
      </x:c>
      <x:c r="T25" s="67" t="n">
        <x:f>IF(AND(K25&gt;0.00001,L25&gt;0.00001),1,0)</x:f>
        <x:v>0</x:v>
      </x:c>
      <x:c r="U25" s="74" t="n">
        <x:f>N25/12000</x:f>
        <x:v>0.8375</x:v>
      </x:c>
    </x:row>
    <x:row r="26">
      <x:c r="A26" s="49" t="str">
        <x:v>3:20-3:30</x:v>
      </x:c>
      <x:c r="B26" s="67" t="n">
        <x:v>200</x:v>
      </x:c>
      <x:c r="C26" s="73" t="n">
        <x:v>0.4371</x:v>
      </x:c>
      <x:c r="D26" s="68" t="n">
        <x:v>3537.2854</x:v>
      </x:c>
      <x:c r="E26" s="68" t="n">
        <x:v>0</x:v>
      </x:c>
      <x:c r="F26" s="68" t="n">
        <x:v>589.5475666666666</x:v>
      </x:c>
      <x:c r="G26" s="68" t="n">
        <x:v>0</x:v>
      </x:c>
      <x:c r="H26" s="68" t="n">
        <x:v>589.5475666666666</x:v>
      </x:c>
      <x:c r="I26" s="68" t="n">
        <x:v>589.5475666666666</x:v>
      </x:c>
      <x:c r="J26" s="68" t="n">
        <x:v>589.5475666666666</x:v>
      </x:c>
      <x:c r="K26" s="68" t="n">
        <x:v>0</x:v>
      </x:c>
      <x:c r="L26" s="68" t="n">
        <x:v>0</x:v>
      </x:c>
      <x:c r="M26" s="68" t="n">
        <x:v>0</x:v>
      </x:c>
      <x:c r="N26" s="68" t="n">
        <x:v>10050</x:v>
      </x:c>
      <x:c r="O26" s="68" t="n">
        <x:v>10050</x:v>
      </x:c>
      <x:c r="P26" s="68" t="n">
        <x:f>C26*J26</x:f>
        <x:v>257.69124138999996</x:v>
      </x:c>
      <x:c r="Q26" s="68" t="n">
        <x:f>C26*I26</x:f>
        <x:v>257.69124138999996</x:v>
      </x:c>
      <x:c r="R26" s="65" t="n">
        <x:f>J26+G26+L26-F26-K26-M26</x:f>
        <x:v>0</x:v>
      </x:c>
      <x:c r="S26" s="65" t="n">
        <x:f>O26-N26-0.9*K26+L26/0.9</x:f>
        <x:v>0</x:v>
      </x:c>
      <x:c r="T26" s="67" t="n">
        <x:f>IF(AND(K26&gt;0.00001,L26&gt;0.00001),1,0)</x:f>
        <x:v>0</x:v>
      </x:c>
      <x:c r="U26" s="74" t="n">
        <x:f>N26/12000</x:f>
        <x:v>0.8375</x:v>
      </x:c>
    </x:row>
    <x:row r="27">
      <x:c r="A27" s="49" t="str">
        <x:v>3:30-3:40</x:v>
      </x:c>
      <x:c r="B27" s="67" t="n">
        <x:v>210</x:v>
      </x:c>
      <x:c r="C27" s="73" t="n">
        <x:v>0.4356</x:v>
      </x:c>
      <x:c r="D27" s="68" t="n">
        <x:v>3544.8808</x:v>
      </x:c>
      <x:c r="E27" s="68" t="n">
        <x:v>0</x:v>
      </x:c>
      <x:c r="F27" s="68" t="n">
        <x:v>590.8134666666666</x:v>
      </x:c>
      <x:c r="G27" s="68" t="n">
        <x:v>0</x:v>
      </x:c>
      <x:c r="H27" s="68" t="n">
        <x:v>590.8134666666666</x:v>
      </x:c>
      <x:c r="I27" s="68" t="n">
        <x:v>590.8134666666666</x:v>
      </x:c>
      <x:c r="J27" s="68" t="n">
        <x:v>590.8134666666666</x:v>
      </x:c>
      <x:c r="K27" s="68" t="n">
        <x:v>0</x:v>
      </x:c>
      <x:c r="L27" s="68" t="n">
        <x:v>0</x:v>
      </x:c>
      <x:c r="M27" s="68" t="n">
        <x:v>0</x:v>
      </x:c>
      <x:c r="N27" s="68" t="n">
        <x:v>10050</x:v>
      </x:c>
      <x:c r="O27" s="68" t="n">
        <x:v>10050</x:v>
      </x:c>
      <x:c r="P27" s="68" t="n">
        <x:f>C27*J27</x:f>
        <x:v>257.35834608</x:v>
      </x:c>
      <x:c r="Q27" s="68" t="n">
        <x:f>C27*I27</x:f>
        <x:v>257.35834608</x:v>
      </x:c>
      <x:c r="R27" s="65" t="n">
        <x:f>J27+G27+L27-F27-K27-M27</x:f>
        <x:v>0</x:v>
      </x:c>
      <x:c r="S27" s="65" t="n">
        <x:f>O27-N27-0.9*K27+L27/0.9</x:f>
        <x:v>0</x:v>
      </x:c>
      <x:c r="T27" s="67" t="n">
        <x:f>IF(AND(K27&gt;0.00001,L27&gt;0.00001),1,0)</x:f>
        <x:v>0</x:v>
      </x:c>
      <x:c r="U27" s="74" t="n">
        <x:f>N27/12000</x:f>
        <x:v>0.8375</x:v>
      </x:c>
    </x:row>
    <x:row r="28">
      <x:c r="A28" s="49" t="str">
        <x:v>3:40-3:50</x:v>
      </x:c>
      <x:c r="B28" s="67" t="n">
        <x:v>220</x:v>
      </x:c>
      <x:c r="C28" s="73" t="n">
        <x:v>0.4353</x:v>
      </x:c>
      <x:c r="D28" s="68" t="n">
        <x:v>3541.2787</x:v>
      </x:c>
      <x:c r="E28" s="68" t="n">
        <x:v>0</x:v>
      </x:c>
      <x:c r="F28" s="68" t="n">
        <x:v>590.2131166666666</x:v>
      </x:c>
      <x:c r="G28" s="68" t="n">
        <x:v>0</x:v>
      </x:c>
      <x:c r="H28" s="68" t="n">
        <x:v>590.2131166666666</x:v>
      </x:c>
      <x:c r="I28" s="68" t="n">
        <x:v>590.2131166666666</x:v>
      </x:c>
      <x:c r="J28" s="68" t="n">
        <x:v>590.2131166666666</x:v>
      </x:c>
      <x:c r="K28" s="68" t="n">
        <x:v>0</x:v>
      </x:c>
      <x:c r="L28" s="68" t="n">
        <x:v>0</x:v>
      </x:c>
      <x:c r="M28" s="68" t="n">
        <x:v>0</x:v>
      </x:c>
      <x:c r="N28" s="68" t="n">
        <x:v>10050</x:v>
      </x:c>
      <x:c r="O28" s="68" t="n">
        <x:v>10050</x:v>
      </x:c>
      <x:c r="P28" s="68" t="n">
        <x:f>C28*J28</x:f>
        <x:v>256.91976968499995</x:v>
      </x:c>
      <x:c r="Q28" s="68" t="n">
        <x:f>C28*I28</x:f>
        <x:v>256.91976968499995</x:v>
      </x:c>
      <x:c r="R28" s="65" t="n">
        <x:f>J28+G28+L28-F28-K28-M28</x:f>
        <x:v>0</x:v>
      </x:c>
      <x:c r="S28" s="65" t="n">
        <x:f>O28-N28-0.9*K28+L28/0.9</x:f>
        <x:v>0</x:v>
      </x:c>
      <x:c r="T28" s="67" t="n">
        <x:f>IF(AND(K28&gt;0.00001,L28&gt;0.00001),1,0)</x:f>
        <x:v>0</x:v>
      </x:c>
      <x:c r="U28" s="74" t="n">
        <x:f>N28/12000</x:f>
        <x:v>0.8375</x:v>
      </x:c>
    </x:row>
    <x:row r="29">
      <x:c r="A29" s="49" t="str">
        <x:v>3:50-4:00</x:v>
      </x:c>
      <x:c r="B29" s="67" t="n">
        <x:v>230</x:v>
      </x:c>
      <x:c r="C29" s="73" t="n">
        <x:v>0.436</x:v>
      </x:c>
      <x:c r="D29" s="68" t="n">
        <x:v>3546.3976</x:v>
      </x:c>
      <x:c r="E29" s="68" t="n">
        <x:v>0</x:v>
      </x:c>
      <x:c r="F29" s="68" t="n">
        <x:v>591.0662666666666</x:v>
      </x:c>
      <x:c r="G29" s="68" t="n">
        <x:v>0</x:v>
      </x:c>
      <x:c r="H29" s="68" t="n">
        <x:v>591.0662666666666</x:v>
      </x:c>
      <x:c r="I29" s="68" t="n">
        <x:v>591.0662666666666</x:v>
      </x:c>
      <x:c r="J29" s="68" t="n">
        <x:v>591.0662666666666</x:v>
      </x:c>
      <x:c r="K29" s="68" t="n">
        <x:v>0</x:v>
      </x:c>
      <x:c r="L29" s="68" t="n">
        <x:v>0</x:v>
      </x:c>
      <x:c r="M29" s="68" t="n">
        <x:v>0</x:v>
      </x:c>
      <x:c r="N29" s="68" t="n">
        <x:v>10050</x:v>
      </x:c>
      <x:c r="O29" s="68" t="n">
        <x:v>10050</x:v>
      </x:c>
      <x:c r="P29" s="68" t="n">
        <x:f>C29*J29</x:f>
        <x:v>257.70489226666666</x:v>
      </x:c>
      <x:c r="Q29" s="68" t="n">
        <x:f>C29*I29</x:f>
        <x:v>257.70489226666666</x:v>
      </x:c>
      <x:c r="R29" s="65" t="n">
        <x:f>J29+G29+L29-F29-K29-M29</x:f>
        <x:v>0</x:v>
      </x:c>
      <x:c r="S29" s="65" t="n">
        <x:f>O29-N29-0.9*K29+L29/0.9</x:f>
        <x:v>0</x:v>
      </x:c>
      <x:c r="T29" s="67" t="n">
        <x:f>IF(AND(K29&gt;0.00001,L29&gt;0.00001),1,0)</x:f>
        <x:v>0</x:v>
      </x:c>
      <x:c r="U29" s="74" t="n">
        <x:f>N29/12000</x:f>
        <x:v>0.8375</x:v>
      </x:c>
    </x:row>
    <x:row r="30">
      <x:c r="A30" s="49" t="str">
        <x:v>4:00-4:10</x:v>
      </x:c>
      <x:c r="B30" s="67" t="n">
        <x:v>240</x:v>
      </x:c>
      <x:c r="C30" s="73" t="n">
        <x:v>0.4378</x:v>
      </x:c>
      <x:c r="D30" s="68" t="n">
        <x:v>3560.207</x:v>
      </x:c>
      <x:c r="E30" s="68" t="n">
        <x:v>0</x:v>
      </x:c>
      <x:c r="F30" s="68" t="n">
        <x:v>593.3678333333332</x:v>
      </x:c>
      <x:c r="G30" s="68" t="n">
        <x:v>0</x:v>
      </x:c>
      <x:c r="H30" s="68" t="n">
        <x:v>593.3678333333332</x:v>
      </x:c>
      <x:c r="I30" s="68" t="n">
        <x:v>593.3678333333332</x:v>
      </x:c>
      <x:c r="J30" s="68" t="n">
        <x:v>593.3678333333332</x:v>
      </x:c>
      <x:c r="K30" s="68" t="n">
        <x:v>0</x:v>
      </x:c>
      <x:c r="L30" s="68" t="n">
        <x:v>0</x:v>
      </x:c>
      <x:c r="M30" s="68" t="n">
        <x:v>0</x:v>
      </x:c>
      <x:c r="N30" s="68" t="n">
        <x:v>10050</x:v>
      </x:c>
      <x:c r="O30" s="68" t="n">
        <x:v>10050</x:v>
      </x:c>
      <x:c r="P30" s="68" t="n">
        <x:f>C30*J30</x:f>
        <x:v>259.7764374333333</x:v>
      </x:c>
      <x:c r="Q30" s="68" t="n">
        <x:f>C30*I30</x:f>
        <x:v>259.7764374333333</x:v>
      </x:c>
      <x:c r="R30" s="65" t="n">
        <x:f>J30+G30+L30-F30-K30-M30</x:f>
        <x:v>0</x:v>
      </x:c>
      <x:c r="S30" s="65" t="n">
        <x:f>O30-N30-0.9*K30+L30/0.9</x:f>
        <x:v>0</x:v>
      </x:c>
      <x:c r="T30" s="67" t="n">
        <x:f>IF(AND(K30&gt;0.00001,L30&gt;0.00001),1,0)</x:f>
        <x:v>0</x:v>
      </x:c>
      <x:c r="U30" s="74" t="n">
        <x:f>N30/12000</x:f>
        <x:v>0.8375</x:v>
      </x:c>
    </x:row>
    <x:row r="31">
      <x:c r="A31" s="49" t="str">
        <x:v>4:10-4:20</x:v>
      </x:c>
      <x:c r="B31" s="67" t="n">
        <x:v>250</x:v>
      </x:c>
      <x:c r="C31" s="73" t="n">
        <x:v>0.4401</x:v>
      </x:c>
      <x:c r="D31" s="68" t="n">
        <x:v>3561.9581</x:v>
      </x:c>
      <x:c r="E31" s="68" t="n">
        <x:v>0</x:v>
      </x:c>
      <x:c r="F31" s="68" t="n">
        <x:v>593.6596833333333</x:v>
      </x:c>
      <x:c r="G31" s="68" t="n">
        <x:v>0</x:v>
      </x:c>
      <x:c r="H31" s="68" t="n">
        <x:v>593.6596833333333</x:v>
      </x:c>
      <x:c r="I31" s="68" t="n">
        <x:v>593.6596833333333</x:v>
      </x:c>
      <x:c r="J31" s="68" t="n">
        <x:v>593.6596833333333</x:v>
      </x:c>
      <x:c r="K31" s="68" t="n">
        <x:v>0</x:v>
      </x:c>
      <x:c r="L31" s="68" t="n">
        <x:v>0</x:v>
      </x:c>
      <x:c r="M31" s="68" t="n">
        <x:v>0</x:v>
      </x:c>
      <x:c r="N31" s="68" t="n">
        <x:v>10050</x:v>
      </x:c>
      <x:c r="O31" s="68" t="n">
        <x:v>10050</x:v>
      </x:c>
      <x:c r="P31" s="68" t="n">
        <x:f>C31*J31</x:f>
        <x:v>261.269626635</x:v>
      </x:c>
      <x:c r="Q31" s="68" t="n">
        <x:f>C31*I31</x:f>
        <x:v>261.269626635</x:v>
      </x:c>
      <x:c r="R31" s="65" t="n">
        <x:f>J31+G31+L31-F31-K31-M31</x:f>
        <x:v>0</x:v>
      </x:c>
      <x:c r="S31" s="65" t="n">
        <x:f>O31-N31-0.9*K31+L31/0.9</x:f>
        <x:v>0</x:v>
      </x:c>
      <x:c r="T31" s="67" t="n">
        <x:f>IF(AND(K31&gt;0.00001,L31&gt;0.00001),1,0)</x:f>
        <x:v>0</x:v>
      </x:c>
      <x:c r="U31" s="74" t="n">
        <x:f>N31/12000</x:f>
        <x:v>0.8375</x:v>
      </x:c>
    </x:row>
    <x:row r="32">
      <x:c r="A32" s="49" t="str">
        <x:v>4:20-4:30</x:v>
      </x:c>
      <x:c r="B32" s="67" t="n">
        <x:v>260</x:v>
      </x:c>
      <x:c r="C32" s="73" t="n">
        <x:v>0.4389</x:v>
      </x:c>
      <x:c r="D32" s="68" t="n">
        <x:v>3556.7183</x:v>
      </x:c>
      <x:c r="E32" s="68" t="n">
        <x:v>0</x:v>
      </x:c>
      <x:c r="F32" s="68" t="n">
        <x:v>592.7863833333333</x:v>
      </x:c>
      <x:c r="G32" s="68" t="n">
        <x:v>0</x:v>
      </x:c>
      <x:c r="H32" s="68" t="n">
        <x:v>592.7863833333333</x:v>
      </x:c>
      <x:c r="I32" s="68" t="n">
        <x:v>592.7863833333333</x:v>
      </x:c>
      <x:c r="J32" s="68" t="n">
        <x:v>592.7863833333333</x:v>
      </x:c>
      <x:c r="K32" s="68" t="n">
        <x:v>0</x:v>
      </x:c>
      <x:c r="L32" s="68" t="n">
        <x:v>0</x:v>
      </x:c>
      <x:c r="M32" s="68" t="n">
        <x:v>0</x:v>
      </x:c>
      <x:c r="N32" s="68" t="n">
        <x:v>10050</x:v>
      </x:c>
      <x:c r="O32" s="68" t="n">
        <x:v>10050</x:v>
      </x:c>
      <x:c r="P32" s="68" t="n">
        <x:f>C32*J32</x:f>
        <x:v>260.173943645</x:v>
      </x:c>
      <x:c r="Q32" s="68" t="n">
        <x:f>C32*I32</x:f>
        <x:v>260.173943645</x:v>
      </x:c>
      <x:c r="R32" s="65" t="n">
        <x:f>J32+G32+L32-F32-K32-M32</x:f>
        <x:v>0</x:v>
      </x:c>
      <x:c r="S32" s="65" t="n">
        <x:f>O32-N32-0.9*K32+L32/0.9</x:f>
        <x:v>0</x:v>
      </x:c>
      <x:c r="T32" s="67" t="n">
        <x:f>IF(AND(K32&gt;0.00001,L32&gt;0.00001),1,0)</x:f>
        <x:v>0</x:v>
      </x:c>
      <x:c r="U32" s="74" t="n">
        <x:f>N32/12000</x:f>
        <x:v>0.8375</x:v>
      </x:c>
    </x:row>
    <x:row r="33">
      <x:c r="A33" s="49" t="str">
        <x:v>4:30-4:40</x:v>
      </x:c>
      <x:c r="B33" s="67" t="n">
        <x:v>270</x:v>
      </x:c>
      <x:c r="C33" s="73" t="n">
        <x:v>0.4364</x:v>
      </x:c>
      <x:c r="D33" s="68" t="n">
        <x:v>3560.0272</x:v>
      </x:c>
      <x:c r="E33" s="68" t="n">
        <x:v>0</x:v>
      </x:c>
      <x:c r="F33" s="68" t="n">
        <x:v>593.3378666666666</x:v>
      </x:c>
      <x:c r="G33" s="68" t="n">
        <x:v>0</x:v>
      </x:c>
      <x:c r="H33" s="68" t="n">
        <x:v>593.3378666666666</x:v>
      </x:c>
      <x:c r="I33" s="68" t="n">
        <x:v>593.3378666666666</x:v>
      </x:c>
      <x:c r="J33" s="68" t="n">
        <x:v>593.3378666666666</x:v>
      </x:c>
      <x:c r="K33" s="68" t="n">
        <x:v>0</x:v>
      </x:c>
      <x:c r="L33" s="68" t="n">
        <x:v>0</x:v>
      </x:c>
      <x:c r="M33" s="68" t="n">
        <x:v>0</x:v>
      </x:c>
      <x:c r="N33" s="68" t="n">
        <x:v>10050</x:v>
      </x:c>
      <x:c r="O33" s="68" t="n">
        <x:v>10050</x:v>
      </x:c>
      <x:c r="P33" s="68" t="n">
        <x:f>C33*J33</x:f>
        <x:v>258.93264501333334</x:v>
      </x:c>
      <x:c r="Q33" s="68" t="n">
        <x:f>C33*I33</x:f>
        <x:v>258.93264501333334</x:v>
      </x:c>
      <x:c r="R33" s="65" t="n">
        <x:f>J33+G33+L33-F33-K33-M33</x:f>
        <x:v>0</x:v>
      </x:c>
      <x:c r="S33" s="65" t="n">
        <x:f>O33-N33-0.9*K33+L33/0.9</x:f>
        <x:v>0</x:v>
      </x:c>
      <x:c r="T33" s="67" t="n">
        <x:f>IF(AND(K33&gt;0.00001,L33&gt;0.00001),1,0)</x:f>
        <x:v>0</x:v>
      </x:c>
      <x:c r="U33" s="74" t="n">
        <x:f>N33/12000</x:f>
        <x:v>0.8375</x:v>
      </x:c>
    </x:row>
    <x:row r="34">
      <x:c r="A34" s="49" t="str">
        <x:v>4:40-4:50</x:v>
      </x:c>
      <x:c r="B34" s="67" t="n">
        <x:v>280</x:v>
      </x:c>
      <x:c r="C34" s="73" t="n">
        <x:v>0.4393</x:v>
      </x:c>
      <x:c r="D34" s="68" t="n">
        <x:v>3580.654</x:v>
      </x:c>
      <x:c r="E34" s="68" t="n">
        <x:v>0.5994</x:v>
      </x:c>
      <x:c r="F34" s="68" t="n">
        <x:v>596.7756666666667</x:v>
      </x:c>
      <x:c r="G34" s="68" t="n">
        <x:v>0.0999</x:v>
      </x:c>
      <x:c r="H34" s="68" t="n">
        <x:v>596.6757666666666</x:v>
      </x:c>
      <x:c r="I34" s="68" t="n">
        <x:v>596.6757666666666</x:v>
      </x:c>
      <x:c r="J34" s="68" t="n">
        <x:v>596.6757666666666</x:v>
      </x:c>
      <x:c r="K34" s="68" t="n">
        <x:v>0</x:v>
      </x:c>
      <x:c r="L34" s="68" t="n">
        <x:v>0</x:v>
      </x:c>
      <x:c r="M34" s="68" t="n">
        <x:v>0</x:v>
      </x:c>
      <x:c r="N34" s="68" t="n">
        <x:v>10050</x:v>
      </x:c>
      <x:c r="O34" s="68" t="n">
        <x:v>10050</x:v>
      </x:c>
      <x:c r="P34" s="68" t="n">
        <x:f>C34*J34</x:f>
        <x:v>262.11966429666666</x:v>
      </x:c>
      <x:c r="Q34" s="68" t="n">
        <x:f>C34*I34</x:f>
        <x:v>262.11966429666666</x:v>
      </x:c>
      <x:c r="R34" s="65" t="n">
        <x:f>J34+G34+L34-F34-K34-M34</x:f>
        <x:v>0</x:v>
      </x:c>
      <x:c r="S34" s="65" t="n">
        <x:f>O34-N34-0.9*K34+L34/0.9</x:f>
        <x:v>0</x:v>
      </x:c>
      <x:c r="T34" s="67" t="n">
        <x:f>IF(AND(K34&gt;0.00001,L34&gt;0.00001),1,0)</x:f>
        <x:v>0</x:v>
      </x:c>
      <x:c r="U34" s="74" t="n">
        <x:f>N34/12000</x:f>
        <x:v>0.8375</x:v>
      </x:c>
    </x:row>
    <x:row r="35">
      <x:c r="A35" s="49" t="str">
        <x:v>4:50-5:00</x:v>
      </x:c>
      <x:c r="B35" s="67" t="n">
        <x:v>290</x:v>
      </x:c>
      <x:c r="C35" s="73" t="n">
        <x:v>0.4422</x:v>
      </x:c>
      <x:c r="D35" s="68" t="n">
        <x:v>3586.916</x:v>
      </x:c>
      <x:c r="E35" s="68" t="n">
        <x:v>0.2345</x:v>
      </x:c>
      <x:c r="F35" s="68" t="n">
        <x:v>597.8193333333334</x:v>
      </x:c>
      <x:c r="G35" s="68" t="n">
        <x:v>0.03908333333333333</x:v>
      </x:c>
      <x:c r="H35" s="68" t="n">
        <x:v>597.78025</x:v>
      </x:c>
      <x:c r="I35" s="68" t="n">
        <x:v>597.78025</x:v>
      </x:c>
      <x:c r="J35" s="68" t="n">
        <x:v>597.78025</x:v>
      </x:c>
      <x:c r="K35" s="68" t="n">
        <x:v>0</x:v>
      </x:c>
      <x:c r="L35" s="68" t="n">
        <x:v>0</x:v>
      </x:c>
      <x:c r="M35" s="68" t="n">
        <x:v>0</x:v>
      </x:c>
      <x:c r="N35" s="68" t="n">
        <x:v>10050</x:v>
      </x:c>
      <x:c r="O35" s="68" t="n">
        <x:v>10050</x:v>
      </x:c>
      <x:c r="P35" s="68" t="n">
        <x:f>C35*J35</x:f>
        <x:v>264.33842655</x:v>
      </x:c>
      <x:c r="Q35" s="68" t="n">
        <x:f>C35*I35</x:f>
        <x:v>264.33842655</x:v>
      </x:c>
      <x:c r="R35" s="65" t="n">
        <x:f>J35+G35+L35-F35-K35-M35</x:f>
        <x:v>0</x:v>
      </x:c>
      <x:c r="S35" s="65" t="n">
        <x:f>O35-N35-0.9*K35+L35/0.9</x:f>
        <x:v>0</x:v>
      </x:c>
      <x:c r="T35" s="67" t="n">
        <x:f>IF(AND(K35&gt;0.00001,L35&gt;0.00001),1,0)</x:f>
        <x:v>0</x:v>
      </x:c>
      <x:c r="U35" s="74" t="n">
        <x:f>N35/12000</x:f>
        <x:v>0.8375</x:v>
      </x:c>
    </x:row>
    <x:row r="36">
      <x:c r="A36" s="49" t="str">
        <x:v>5:00-5:10</x:v>
      </x:c>
      <x:c r="B36" s="67" t="n">
        <x:v>300</x:v>
      </x:c>
      <x:c r="C36" s="73" t="n">
        <x:v>0.4395</x:v>
      </x:c>
      <x:c r="D36" s="68" t="n">
        <x:v>3571.2635</x:v>
      </x:c>
      <x:c r="E36" s="68" t="n">
        <x:v>0.2885</x:v>
      </x:c>
      <x:c r="F36" s="68" t="n">
        <x:v>595.2105833333333</x:v>
      </x:c>
      <x:c r="G36" s="68" t="n">
        <x:v>0.048083333333333325</x:v>
      </x:c>
      <x:c r="H36" s="68" t="n">
        <x:v>595.1624999999999</x:v>
      </x:c>
      <x:c r="I36" s="68" t="n">
        <x:v>595.1624999999999</x:v>
      </x:c>
      <x:c r="J36" s="68" t="n">
        <x:v>595.1624999999999</x:v>
      </x:c>
      <x:c r="K36" s="68" t="n">
        <x:v>0</x:v>
      </x:c>
      <x:c r="L36" s="68" t="n">
        <x:v>0</x:v>
      </x:c>
      <x:c r="M36" s="68" t="n">
        <x:v>0</x:v>
      </x:c>
      <x:c r="N36" s="68" t="n">
        <x:v>10050</x:v>
      </x:c>
      <x:c r="O36" s="68" t="n">
        <x:v>10050</x:v>
      </x:c>
      <x:c r="P36" s="68" t="n">
        <x:f>C36*J36</x:f>
        <x:v>261.57391874999996</x:v>
      </x:c>
      <x:c r="Q36" s="68" t="n">
        <x:f>C36*I36</x:f>
        <x:v>261.57391874999996</x:v>
      </x:c>
      <x:c r="R36" s="65" t="n">
        <x:f>J36+G36+L36-F36-K36-M36</x:f>
        <x:v>0</x:v>
      </x:c>
      <x:c r="S36" s="65" t="n">
        <x:f>O36-N36-0.9*K36+L36/0.9</x:f>
        <x:v>0</x:v>
      </x:c>
      <x:c r="T36" s="67" t="n">
        <x:f>IF(AND(K36&gt;0.00001,L36&gt;0.00001),1,0)</x:f>
        <x:v>0</x:v>
      </x:c>
      <x:c r="U36" s="74" t="n">
        <x:f>N36/12000</x:f>
        <x:v>0.8375</x:v>
      </x:c>
    </x:row>
    <x:row r="37">
      <x:c r="A37" s="49" t="str">
        <x:v>5:10-5:20</x:v>
      </x:c>
      <x:c r="B37" s="67" t="n">
        <x:v>310</x:v>
      </x:c>
      <x:c r="C37" s="73" t="n">
        <x:v>0.4333</x:v>
      </x:c>
      <x:c r="D37" s="68" t="n">
        <x:v>3562.3171</x:v>
      </x:c>
      <x:c r="E37" s="68" t="n">
        <x:v>18.6781</x:v>
      </x:c>
      <x:c r="F37" s="68" t="n">
        <x:v>593.7195166666667</x:v>
      </x:c>
      <x:c r="G37" s="68" t="n">
        <x:v>3.1130166666666668</x:v>
      </x:c>
      <x:c r="H37" s="68" t="n">
        <x:v>590.6065</x:v>
      </x:c>
      <x:c r="I37" s="68" t="n">
        <x:v>590.6065</x:v>
      </x:c>
      <x:c r="J37" s="68" t="n">
        <x:v>590.6065</x:v>
      </x:c>
      <x:c r="K37" s="68" t="n">
        <x:v>0</x:v>
      </x:c>
      <x:c r="L37" s="68" t="n">
        <x:v>0</x:v>
      </x:c>
      <x:c r="M37" s="68" t="n">
        <x:v>0</x:v>
      </x:c>
      <x:c r="N37" s="68" t="n">
        <x:v>10050</x:v>
      </x:c>
      <x:c r="O37" s="68" t="n">
        <x:v>10050</x:v>
      </x:c>
      <x:c r="P37" s="68" t="n">
        <x:f>C37*J37</x:f>
        <x:v>255.90979645000002</x:v>
      </x:c>
      <x:c r="Q37" s="68" t="n">
        <x:f>C37*I37</x:f>
        <x:v>255.90979645000002</x:v>
      </x:c>
      <x:c r="R37" s="65" t="n">
        <x:f>J37+G37+L37-F37-K37-M37</x:f>
        <x:v>0</x:v>
      </x:c>
      <x:c r="S37" s="65" t="n">
        <x:f>O37-N37-0.9*K37+L37/0.9</x:f>
        <x:v>0</x:v>
      </x:c>
      <x:c r="T37" s="67" t="n">
        <x:f>IF(AND(K37&gt;0.00001,L37&gt;0.00001),1,0)</x:f>
        <x:v>0</x:v>
      </x:c>
      <x:c r="U37" s="74" t="n">
        <x:f>N37/12000</x:f>
        <x:v>0.8375</x:v>
      </x:c>
    </x:row>
    <x:row r="38">
      <x:c r="A38" s="49" t="str">
        <x:v>5:20-5:30</x:v>
      </x:c>
      <x:c r="B38" s="67" t="n">
        <x:v>320</x:v>
      </x:c>
      <x:c r="C38" s="73" t="n">
        <x:v>0.4439</x:v>
      </x:c>
      <x:c r="D38" s="68" t="n">
        <x:v>3591.3809</x:v>
      </x:c>
      <x:c r="E38" s="68" t="n">
        <x:v>54.4698</x:v>
      </x:c>
      <x:c r="F38" s="68" t="n">
        <x:v>598.5634833333334</x:v>
      </x:c>
      <x:c r="G38" s="68" t="n">
        <x:v>9.078299999999999</x:v>
      </x:c>
      <x:c r="H38" s="68" t="n">
        <x:v>589.4851833333333</x:v>
      </x:c>
      <x:c r="I38" s="68" t="n">
        <x:v>589.4851833333333</x:v>
      </x:c>
      <x:c r="J38" s="68" t="n">
        <x:v>589.4851833333333</x:v>
      </x:c>
      <x:c r="K38" s="68" t="n">
        <x:v>0</x:v>
      </x:c>
      <x:c r="L38" s="68" t="n">
        <x:v>0</x:v>
      </x:c>
      <x:c r="M38" s="68" t="n">
        <x:v>0</x:v>
      </x:c>
      <x:c r="N38" s="68" t="n">
        <x:v>10050</x:v>
      </x:c>
      <x:c r="O38" s="68" t="n">
        <x:v>10050</x:v>
      </x:c>
      <x:c r="P38" s="68" t="n">
        <x:f>C38*J38</x:f>
        <x:v>261.6724728816667</x:v>
      </x:c>
      <x:c r="Q38" s="68" t="n">
        <x:f>C38*I38</x:f>
        <x:v>261.6724728816667</x:v>
      </x:c>
      <x:c r="R38" s="65" t="n">
        <x:f>J38+G38+L38-F38-K38-M38</x:f>
        <x:v>0</x:v>
      </x:c>
      <x:c r="S38" s="65" t="n">
        <x:f>O38-N38-0.9*K38+L38/0.9</x:f>
        <x:v>0</x:v>
      </x:c>
      <x:c r="T38" s="67" t="n">
        <x:f>IF(AND(K38&gt;0.00001,L38&gt;0.00001),1,0)</x:f>
        <x:v>0</x:v>
      </x:c>
      <x:c r="U38" s="74" t="n">
        <x:f>N38/12000</x:f>
        <x:v>0.8375</x:v>
      </x:c>
    </x:row>
    <x:row r="39">
      <x:c r="A39" s="49" t="str">
        <x:v>5:30-5:40</x:v>
      </x:c>
      <x:c r="B39" s="67" t="n">
        <x:v>330</x:v>
      </x:c>
      <x:c r="C39" s="73" t="n">
        <x:v>0.4301</x:v>
      </x:c>
      <x:c r="D39" s="68" t="n">
        <x:v>3579.7045</x:v>
      </x:c>
      <x:c r="E39" s="68" t="n">
        <x:v>108.9718</x:v>
      </x:c>
      <x:c r="F39" s="68" t="n">
        <x:v>596.6174166666666</x:v>
      </x:c>
      <x:c r="G39" s="68" t="n">
        <x:v>18.161966666666665</x:v>
      </x:c>
      <x:c r="H39" s="68" t="n">
        <x:v>578.4554499999999</x:v>
      </x:c>
      <x:c r="I39" s="68" t="n">
        <x:v>578.4554499999999</x:v>
      </x:c>
      <x:c r="J39" s="68" t="n">
        <x:v>578.4554499999999</x:v>
      </x:c>
      <x:c r="K39" s="68" t="n">
        <x:v>0</x:v>
      </x:c>
      <x:c r="L39" s="68" t="n">
        <x:v>0</x:v>
      </x:c>
      <x:c r="M39" s="68" t="n">
        <x:v>0</x:v>
      </x:c>
      <x:c r="N39" s="68" t="n">
        <x:v>10050</x:v>
      </x:c>
      <x:c r="O39" s="68" t="n">
        <x:v>10050</x:v>
      </x:c>
      <x:c r="P39" s="68" t="n">
        <x:f>C39*J39</x:f>
        <x:v>248.79368904499995</x:v>
      </x:c>
      <x:c r="Q39" s="68" t="n">
        <x:f>C39*I39</x:f>
        <x:v>248.79368904499995</x:v>
      </x:c>
      <x:c r="R39" s="65" t="n">
        <x:f>J39+G39+L39-F39-K39-M39</x:f>
        <x:v>0</x:v>
      </x:c>
      <x:c r="S39" s="65" t="n">
        <x:f>O39-N39-0.9*K39+L39/0.9</x:f>
        <x:v>0</x:v>
      </x:c>
      <x:c r="T39" s="67" t="n">
        <x:f>IF(AND(K39&gt;0.00001,L39&gt;0.00001),1,0)</x:f>
        <x:v>0</x:v>
      </x:c>
      <x:c r="U39" s="74" t="n">
        <x:f>N39/12000</x:f>
        <x:v>0.8375</x:v>
      </x:c>
    </x:row>
    <x:row r="40">
      <x:c r="A40" s="49" t="str">
        <x:v>5:40-5:50</x:v>
      </x:c>
      <x:c r="B40" s="67" t="n">
        <x:v>340</x:v>
      </x:c>
      <x:c r="C40" s="73" t="n">
        <x:v>0.3713</x:v>
      </x:c>
      <x:c r="D40" s="68" t="n">
        <x:v>3486.119</x:v>
      </x:c>
      <x:c r="E40" s="68" t="n">
        <x:v>184.1603</x:v>
      </x:c>
      <x:c r="F40" s="68" t="n">
        <x:v>581.0198333333333</x:v>
      </x:c>
      <x:c r="G40" s="68" t="n">
        <x:v>30.693383333333333</x:v>
      </x:c>
      <x:c r="H40" s="68" t="n">
        <x:v>550.3264499999999</x:v>
      </x:c>
      <x:c r="I40" s="68" t="n">
        <x:v>550.3264499999999</x:v>
      </x:c>
      <x:c r="J40" s="68" t="n">
        <x:v>1383.659783333333</x:v>
      </x:c>
      <x:c r="K40" s="68" t="n">
        <x:v>833.3333333333333</x:v>
      </x:c>
      <x:c r="L40" s="68" t="n">
        <x:v>0</x:v>
      </x:c>
      <x:c r="M40" s="68" t="n">
        <x:v>0</x:v>
      </x:c>
      <x:c r="N40" s="68" t="n">
        <x:v>10050</x:v>
      </x:c>
      <x:c r="O40" s="68" t="n">
        <x:v>10800</x:v>
      </x:c>
      <x:c r="P40" s="68" t="n">
        <x:f>C40*J40</x:f>
        <x:v>513.7528775516666</x:v>
      </x:c>
      <x:c r="Q40" s="68" t="n">
        <x:f>C40*I40</x:f>
        <x:v>204.33621088499999</x:v>
      </x:c>
      <x:c r="R40" s="65" t="n">
        <x:f>J40+G40+L40-F40-K40-M40</x:f>
        <x:v>-2.2737367544323206e-13</x:v>
      </x:c>
      <x:c r="S40" s="65" t="n">
        <x:f>O40-N40-0.9*K40+L40/0.9</x:f>
        <x:v>0</x:v>
      </x:c>
      <x:c r="T40" s="67" t="n">
        <x:f>IF(AND(K40&gt;0.00001,L40&gt;0.00001),1,0)</x:f>
        <x:v>0</x:v>
      </x:c>
      <x:c r="U40" s="74" t="n">
        <x:f>N40/12000</x:f>
        <x:v>0.8375</x:v>
      </x:c>
    </x:row>
    <x:row r="41">
      <x:c r="A41" s="49" t="str">
        <x:v>5:50-6:00</x:v>
      </x:c>
      <x:c r="B41" s="67" t="n">
        <x:v>350</x:v>
      </x:c>
      <x:c r="C41" s="73" t="n">
        <x:v>0.5708</x:v>
      </x:c>
      <x:c r="D41" s="68" t="n">
        <x:v>3823.8994</x:v>
      </x:c>
      <x:c r="E41" s="68" t="n">
        <x:v>277.0582</x:v>
      </x:c>
      <x:c r="F41" s="68" t="n">
        <x:v>637.3165666666666</x:v>
      </x:c>
      <x:c r="G41" s="68" t="n">
        <x:v>46.17636666666667</x:v>
      </x:c>
      <x:c r="H41" s="68" t="n">
        <x:v>591.1401999999999</x:v>
      </x:c>
      <x:c r="I41" s="68" t="n">
        <x:v>591.1401999999999</x:v>
      </x:c>
      <x:c r="J41" s="68" t="n">
        <x:v>591.1401999999999</x:v>
      </x:c>
      <x:c r="K41" s="68" t="n">
        <x:v>0</x:v>
      </x:c>
      <x:c r="L41" s="68" t="n">
        <x:v>0</x:v>
      </x:c>
      <x:c r="M41" s="68" t="n">
        <x:v>0</x:v>
      </x:c>
      <x:c r="N41" s="68" t="n">
        <x:v>10800</x:v>
      </x:c>
      <x:c r="O41" s="68" t="n">
        <x:v>10800</x:v>
      </x:c>
      <x:c r="P41" s="68" t="n">
        <x:f>C41*J41</x:f>
        <x:v>337.42282615999994</x:v>
      </x:c>
      <x:c r="Q41" s="68" t="n">
        <x:f>C41*I41</x:f>
        <x:v>337.42282615999994</x:v>
      </x:c>
      <x:c r="R41" s="65" t="n">
        <x:f>J41+G41+L41-F41-K41-M41</x:f>
        <x:v>0</x:v>
      </x:c>
      <x:c r="S41" s="65" t="n">
        <x:f>O41-N41-0.9*K41+L41/0.9</x:f>
        <x:v>0</x:v>
      </x:c>
      <x:c r="T41" s="67" t="n">
        <x:f>IF(AND(K41&gt;0.00001,L41&gt;0.00001),1,0)</x:f>
        <x:v>0</x:v>
      </x:c>
      <x:c r="U41" s="74" t="n">
        <x:f>N41/12000</x:f>
        <x:v>0.9</x:v>
      </x:c>
    </x:row>
    <x:row r="42">
      <x:c r="A42" s="49" t="str">
        <x:v>6:00-6:10</x:v>
      </x:c>
      <x:c r="B42" s="67" t="n">
        <x:v>360</x:v>
      </x:c>
      <x:c r="C42" s="73" t="n">
        <x:v>0.9099</x:v>
      </x:c>
      <x:c r="D42" s="68" t="n">
        <x:v>4398.0727</x:v>
      </x:c>
      <x:c r="E42" s="68" t="n">
        <x:v>388.5494</x:v>
      </x:c>
      <x:c r="F42" s="68" t="n">
        <x:v>733.0121166666665</x:v>
      </x:c>
      <x:c r="G42" s="68" t="n">
        <x:v>64.75823333333332</x:v>
      </x:c>
      <x:c r="H42" s="68" t="n">
        <x:v>668.2538833333332</x:v>
      </x:c>
      <x:c r="I42" s="68" t="n">
        <x:v>668.2538833333332</x:v>
      </x:c>
      <x:c r="J42" s="68" t="n">
        <x:v>0</x:v>
      </x:c>
      <x:c r="K42" s="68" t="n">
        <x:v>0</x:v>
      </x:c>
      <x:c r="L42" s="68" t="n">
        <x:v>668.2538833333332</x:v>
      </x:c>
      <x:c r="M42" s="68" t="n">
        <x:v>0</x:v>
      </x:c>
      <x:c r="N42" s="68" t="n">
        <x:v>10800</x:v>
      </x:c>
      <x:c r="O42" s="68" t="n">
        <x:v>10057.495685185186</x:v>
      </x:c>
      <x:c r="P42" s="68" t="n">
        <x:f>C42*J42</x:f>
        <x:v>0</x:v>
      </x:c>
      <x:c r="Q42" s="68" t="n">
        <x:f>C42*I42</x:f>
        <x:v>608.0442084449999</x:v>
      </x:c>
      <x:c r="R42" s="65" t="n">
        <x:f>J42+G42+L42-F42-K42-M42</x:f>
        <x:v>0</x:v>
      </x:c>
      <x:c r="S42" s="65" t="n">
        <x:f>O42-N42-0.9*K42+L42/0.9</x:f>
        <x:v>3.410605131648481e-13</x:v>
      </x:c>
      <x:c r="T42" s="67" t="n">
        <x:f>IF(AND(K42&gt;0.00001,L42&gt;0.00001),1,0)</x:f>
        <x:v>0</x:v>
      </x:c>
      <x:c r="U42" s="74" t="n">
        <x:f>N42/12000</x:f>
        <x:v>0.9</x:v>
      </x:c>
    </x:row>
    <x:row r="43">
      <x:c r="A43" s="49" t="str">
        <x:v>6:10-6:20</x:v>
      </x:c>
      <x:c r="B43" s="67" t="n">
        <x:v>370</x:v>
      </x:c>
      <x:c r="C43" s="73" t="n">
        <x:v>0.9368</x:v>
      </x:c>
      <x:c r="D43" s="68" t="n">
        <x:v>4454.0123</x:v>
      </x:c>
      <x:c r="E43" s="68" t="n">
        <x:v>521.2803</x:v>
      </x:c>
      <x:c r="F43" s="68" t="n">
        <x:v>742.3353833333333</x:v>
      </x:c>
      <x:c r="G43" s="68" t="n">
        <x:v>86.88005</x:v>
      </x:c>
      <x:c r="H43" s="68" t="n">
        <x:v>655.4553333333333</x:v>
      </x:c>
      <x:c r="I43" s="68" t="n">
        <x:v>655.4553333333333</x:v>
      </x:c>
      <x:c r="J43" s="68" t="n">
        <x:v>0</x:v>
      </x:c>
      <x:c r="K43" s="68" t="n">
        <x:v>0</x:v>
      </x:c>
      <x:c r="L43" s="68" t="n">
        <x:v>655.4553333333333</x:v>
      </x:c>
      <x:c r="M43" s="68" t="n">
        <x:v>0</x:v>
      </x:c>
      <x:c r="N43" s="68" t="n">
        <x:v>10057.495685185186</x:v>
      </x:c>
      <x:c r="O43" s="68" t="n">
        <x:v>9329.211981481481</x:v>
      </x:c>
      <x:c r="P43" s="68" t="n">
        <x:f>C43*J43</x:f>
        <x:v>0</x:v>
      </x:c>
      <x:c r="Q43" s="68" t="n">
        <x:f>C43*I43</x:f>
        <x:v>614.0305562666666</x:v>
      </x:c>
      <x:c r="R43" s="65" t="n">
        <x:f>J43+G43+L43-F43-K43-M43</x:f>
        <x:v>0</x:v>
      </x:c>
      <x:c r="S43" s="65" t="n">
        <x:f>O43-N43-0.9*K43+L43/0.9</x:f>
        <x:v>-5.684341886080801e-13</x:v>
      </x:c>
      <x:c r="T43" s="67" t="n">
        <x:f>IF(AND(K43&gt;0.00001,L43&gt;0.00001),1,0)</x:f>
        <x:v>0</x:v>
      </x:c>
      <x:c r="U43" s="74" t="n">
        <x:f>N43/12000</x:f>
        <x:v>0.8381246404320988</x:v>
      </x:c>
    </x:row>
    <x:row r="44">
      <x:c r="A44" s="49" t="str">
        <x:v>6:20-6:30</x:v>
      </x:c>
      <x:c r="B44" s="67" t="n">
        <x:v>380</x:v>
      </x:c>
      <x:c r="C44" s="73" t="n">
        <x:v>0.8758</x:v>
      </x:c>
      <x:c r="D44" s="68" t="n">
        <x:v>4371.7919</x:v>
      </x:c>
      <x:c r="E44" s="68" t="n">
        <x:v>672.7677</x:v>
      </x:c>
      <x:c r="F44" s="68" t="n">
        <x:v>728.6319833333333</x:v>
      </x:c>
      <x:c r="G44" s="68" t="n">
        <x:v>112.12795</x:v>
      </x:c>
      <x:c r="H44" s="68" t="n">
        <x:v>616.5040333333334</x:v>
      </x:c>
      <x:c r="I44" s="68" t="n">
        <x:v>616.5040333333334</x:v>
      </x:c>
      <x:c r="J44" s="68" t="n">
        <x:v>0</x:v>
      </x:c>
      <x:c r="K44" s="68" t="n">
        <x:v>0</x:v>
      </x:c>
      <x:c r="L44" s="68" t="n">
        <x:v>616.5040333333334</x:v>
      </x:c>
      <x:c r="M44" s="68" t="n">
        <x:v>0</x:v>
      </x:c>
      <x:c r="N44" s="68" t="n">
        <x:v>9329.211981481481</x:v>
      </x:c>
      <x:c r="O44" s="68" t="n">
        <x:v>8644.2075</x:v>
      </x:c>
      <x:c r="P44" s="68" t="n">
        <x:f>C44*J44</x:f>
        <x:v>0</x:v>
      </x:c>
      <x:c r="Q44" s="68" t="n">
        <x:f>C44*I44</x:f>
        <x:v>539.9342323933334</x:v>
      </x:c>
      <x:c r="R44" s="65" t="n">
        <x:f>J44+G44+L44-F44-K44-M44</x:f>
        <x:v>1.1368683772161603e-13</x:v>
      </x:c>
      <x:c r="S44" s="65" t="n">
        <x:f>O44-N44-0.9*K44+L44/0.9</x:f>
        <x:v>5.684341886080801e-13</x:v>
      </x:c>
      <x:c r="T44" s="67" t="n">
        <x:f>IF(AND(K44&gt;0.00001,L44&gt;0.00001),1,0)</x:f>
        <x:v>0</x:v>
      </x:c>
      <x:c r="U44" s="74" t="n">
        <x:f>N44/12000</x:f>
        <x:v>0.7774343317901234</x:v>
      </x:c>
    </x:row>
    <x:row r="45">
      <x:c r="A45" s="49" t="str">
        <x:v>6:30-6:40</x:v>
      </x:c>
      <x:c r="B45" s="67" t="n">
        <x:v>390</x:v>
      </x:c>
      <x:c r="C45" s="73" t="n">
        <x:v>0.8759</x:v>
      </x:c>
      <x:c r="D45" s="68" t="n">
        <x:v>4392.953</x:v>
      </x:c>
      <x:c r="E45" s="68" t="n">
        <x:v>844.2261</x:v>
      </x:c>
      <x:c r="F45" s="68" t="n">
        <x:v>732.1588333333334</x:v>
      </x:c>
      <x:c r="G45" s="68" t="n">
        <x:v>140.70434999999998</x:v>
      </x:c>
      <x:c r="H45" s="68" t="n">
        <x:v>591.4544833333334</x:v>
      </x:c>
      <x:c r="I45" s="68" t="n">
        <x:v>591.4544833333334</x:v>
      </x:c>
      <x:c r="J45" s="68" t="n">
        <x:v>0</x:v>
      </x:c>
      <x:c r="K45" s="68" t="n">
        <x:v>0</x:v>
      </x:c>
      <x:c r="L45" s="68" t="n">
        <x:v>591.4544833333334</x:v>
      </x:c>
      <x:c r="M45" s="68" t="n">
        <x:v>0</x:v>
      </x:c>
      <x:c r="N45" s="68" t="n">
        <x:v>8644.2075</x:v>
      </x:c>
      <x:c r="O45" s="68" t="n">
        <x:v>7987.035851851852</x:v>
      </x:c>
      <x:c r="P45" s="68" t="n">
        <x:f>C45*J45</x:f>
        <x:v>0</x:v>
      </x:c>
      <x:c r="Q45" s="68" t="n">
        <x:f>C45*I45</x:f>
        <x:v>518.0549819516667</x:v>
      </x:c>
      <x:c r="R45" s="65" t="n">
        <x:f>J45+G45+L45-F45-K45-M45</x:f>
        <x:v>0</x:v>
      </x:c>
      <x:c r="S45" s="65" t="n">
        <x:f>O45-N45-0.9*K45+L45/0.9</x:f>
        <x:v>2.2737367544323206e-13</x:v>
      </x:c>
      <x:c r="T45" s="67" t="n">
        <x:f>IF(AND(K45&gt;0.00001,L45&gt;0.00001),1,0)</x:f>
        <x:v>0</x:v>
      </x:c>
      <x:c r="U45" s="74" t="n">
        <x:f>N45/12000</x:f>
        <x:v>0.720350625</x:v>
      </x:c>
    </x:row>
    <x:row r="46">
      <x:c r="A46" s="49" t="str">
        <x:v>6:40-6:50</x:v>
      </x:c>
      <x:c r="B46" s="67" t="n">
        <x:v>400</x:v>
      </x:c>
      <x:c r="C46" s="73" t="n">
        <x:v>0.8601</x:v>
      </x:c>
      <x:c r="D46" s="68" t="n">
        <x:v>4384.5956</x:v>
      </x:c>
      <x:c r="E46" s="68" t="n">
        <x:v>1039.6744</x:v>
      </x:c>
      <x:c r="F46" s="68" t="n">
        <x:v>730.7659333333332</x:v>
      </x:c>
      <x:c r="G46" s="68" t="n">
        <x:v>173.27906666666667</x:v>
      </x:c>
      <x:c r="H46" s="68" t="n">
        <x:v>557.4868666666666</x:v>
      </x:c>
      <x:c r="I46" s="68" t="n">
        <x:v>557.4868666666666</x:v>
      </x:c>
      <x:c r="J46" s="68" t="n">
        <x:v>0</x:v>
      </x:c>
      <x:c r="K46" s="68" t="n">
        <x:v>0</x:v>
      </x:c>
      <x:c r="L46" s="68" t="n">
        <x:v>557.4868666666666</x:v>
      </x:c>
      <x:c r="M46" s="68" t="n">
        <x:v>0</x:v>
      </x:c>
      <x:c r="N46" s="68" t="n">
        <x:v>7987.035851851852</x:v>
      </x:c>
      <x:c r="O46" s="68" t="n">
        <x:v>7367.606000000001</x:v>
      </x:c>
      <x:c r="P46" s="68" t="n">
        <x:f>C46*J46</x:f>
        <x:v>0</x:v>
      </x:c>
      <x:c r="Q46" s="68" t="n">
        <x:f>C46*I46</x:f>
        <x:v>479.49445402</x:v>
      </x:c>
      <x:c r="R46" s="65" t="n">
        <x:f>J46+G46+L46-F46-K46-M46</x:f>
        <x:v>1.1368683772161603e-13</x:v>
      </x:c>
      <x:c r="S46" s="65" t="n">
        <x:f>O46-N46-0.9*K46+L46/0.9</x:f>
        <x:v>1.1368683772161603e-13</x:v>
      </x:c>
      <x:c r="T46" s="67" t="n">
        <x:f>IF(AND(K46&gt;0.00001,L46&gt;0.00001),1,0)</x:f>
        <x:v>0</x:v>
      </x:c>
      <x:c r="U46" s="74" t="n">
        <x:f>N46/12000</x:f>
        <x:v>0.6655863209876544</x:v>
      </x:c>
    </x:row>
    <x:row r="47">
      <x:c r="A47" s="49" t="str">
        <x:v>6:50-7:00</x:v>
      </x:c>
      <x:c r="B47" s="67" t="n">
        <x:v>410</x:v>
      </x:c>
      <x:c r="C47" s="73" t="n">
        <x:v>0.8442</x:v>
      </x:c>
      <x:c r="D47" s="68" t="n">
        <x:v>4434.7757</x:v>
      </x:c>
      <x:c r="E47" s="68" t="n">
        <x:v>1259.3375</x:v>
      </x:c>
      <x:c r="F47" s="68" t="n">
        <x:v>739.1292833333333</x:v>
      </x:c>
      <x:c r="G47" s="68" t="n">
        <x:v>209.88958333333335</x:v>
      </x:c>
      <x:c r="H47" s="68" t="n">
        <x:v>529.2397</x:v>
      </x:c>
      <x:c r="I47" s="68" t="n">
        <x:v>529.2397</x:v>
      </x:c>
      <x:c r="J47" s="68" t="n">
        <x:v>0</x:v>
      </x:c>
      <x:c r="K47" s="68" t="n">
        <x:v>0</x:v>
      </x:c>
      <x:c r="L47" s="68" t="n">
        <x:v>529.2397</x:v>
      </x:c>
      <x:c r="M47" s="68" t="n">
        <x:v>0</x:v>
      </x:c>
      <x:c r="N47" s="68" t="n">
        <x:v>7367.606000000001</x:v>
      </x:c>
      <x:c r="O47" s="68" t="n">
        <x:v>6779.561888888889</x:v>
      </x:c>
      <x:c r="P47" s="68" t="n">
        <x:f>C47*J47</x:f>
        <x:v>0</x:v>
      </x:c>
      <x:c r="Q47" s="68" t="n">
        <x:f>C47*I47</x:f>
        <x:v>446.78415473999996</x:v>
      </x:c>
      <x:c r="R47" s="65" t="n">
        <x:f>J47+G47+L47-F47-K47-M47</x:f>
        <x:v>0</x:v>
      </x:c>
      <x:c r="S47" s="65" t="n">
        <x:f>O47-N47-0.9*K47+L47/0.9</x:f>
        <x:v>-2.2737367544323206e-13</x:v>
      </x:c>
      <x:c r="T47" s="67" t="n">
        <x:f>IF(AND(K47&gt;0.00001,L47&gt;0.00001),1,0)</x:f>
        <x:v>0</x:v>
      </x:c>
      <x:c r="U47" s="74" t="n">
        <x:f>N47/12000</x:f>
        <x:v>0.6139671666666667</x:v>
      </x:c>
    </x:row>
    <x:row r="48">
      <x:c r="A48" s="49" t="str">
        <x:v>7:00-7:10</x:v>
      </x:c>
      <x:c r="B48" s="67" t="n">
        <x:v>420</x:v>
      </x:c>
      <x:c r="C48" s="73" t="n">
        <x:v>0.8334</x:v>
      </x:c>
      <x:c r="D48" s="68" t="n">
        <x:v>4523.4561</x:v>
      </x:c>
      <x:c r="E48" s="68" t="n">
        <x:v>1508.6318</x:v>
      </x:c>
      <x:c r="F48" s="68" t="n">
        <x:v>753.90935</x:v>
      </x:c>
      <x:c r="G48" s="68" t="n">
        <x:v>251.43863333333334</x:v>
      </x:c>
      <x:c r="H48" s="68" t="n">
        <x:v>502.4707166666667</x:v>
      </x:c>
      <x:c r="I48" s="68" t="n">
        <x:v>502.4707166666667</x:v>
      </x:c>
      <x:c r="J48" s="68" t="n">
        <x:v>0</x:v>
      </x:c>
      <x:c r="K48" s="68" t="n">
        <x:v>0</x:v>
      </x:c>
      <x:c r="L48" s="68" t="n">
        <x:v>502.4707166666667</x:v>
      </x:c>
      <x:c r="M48" s="68" t="n">
        <x:v>0</x:v>
      </x:c>
      <x:c r="N48" s="68" t="n">
        <x:v>6779.561888888889</x:v>
      </x:c>
      <x:c r="O48" s="68" t="n">
        <x:v>6221.261092592593</x:v>
      </x:c>
      <x:c r="P48" s="68" t="n">
        <x:f>C48*J48</x:f>
        <x:v>0</x:v>
      </x:c>
      <x:c r="Q48" s="68" t="n">
        <x:f>C48*I48</x:f>
        <x:v>418.75909527000005</x:v>
      </x:c>
      <x:c r="R48" s="65" t="n">
        <x:f>J48+G48+L48-F48-K48-M48</x:f>
        <x:v>0</x:v>
      </x:c>
      <x:c r="S48" s="65" t="n">
        <x:f>O48-N48-0.9*K48+L48/0.9</x:f>
        <x:v>-2.2737367544323206e-13</x:v>
      </x:c>
      <x:c r="T48" s="67" t="n">
        <x:f>IF(AND(K48&gt;0.00001,L48&gt;0.00001),1,0)</x:f>
        <x:v>0</x:v>
      </x:c>
      <x:c r="U48" s="74" t="n">
        <x:f>N48/12000</x:f>
        <x:v>0.5649634907407408</x:v>
      </x:c>
    </x:row>
    <x:row r="49">
      <x:c r="A49" s="49" t="str">
        <x:v>7:10-7:20</x:v>
      </x:c>
      <x:c r="B49" s="67" t="n">
        <x:v>430</x:v>
      </x:c>
      <x:c r="C49" s="73" t="n">
        <x:v>0.8092</x:v>
      </x:c>
      <x:c r="D49" s="68" t="n">
        <x:v>4524.0721</x:v>
      </x:c>
      <x:c r="E49" s="68" t="n">
        <x:v>1791.4107</x:v>
      </x:c>
      <x:c r="F49" s="68" t="n">
        <x:v>754.0120166666667</x:v>
      </x:c>
      <x:c r="G49" s="68" t="n">
        <x:v>298.56845</x:v>
      </x:c>
      <x:c r="H49" s="68" t="n">
        <x:v>455.4435666666667</x:v>
      </x:c>
      <x:c r="I49" s="68" t="n">
        <x:v>455.4435666666667</x:v>
      </x:c>
      <x:c r="J49" s="68" t="n">
        <x:v>0</x:v>
      </x:c>
      <x:c r="K49" s="68" t="n">
        <x:v>0</x:v>
      </x:c>
      <x:c r="L49" s="68" t="n">
        <x:v>455.4435666666667</x:v>
      </x:c>
      <x:c r="M49" s="68" t="n">
        <x:v>0</x:v>
      </x:c>
      <x:c r="N49" s="68" t="n">
        <x:v>6221.261092592593</x:v>
      </x:c>
      <x:c r="O49" s="68" t="n">
        <x:v>5715.212685185185</x:v>
      </x:c>
      <x:c r="P49" s="68" t="n">
        <x:f>C49*J49</x:f>
        <x:v>0</x:v>
      </x:c>
      <x:c r="Q49" s="68" t="n">
        <x:f>C49*I49</x:f>
        <x:v>368.5449341466667</x:v>
      </x:c>
      <x:c r="R49" s="65" t="n">
        <x:f>J49+G49+L49-F49-K49-M49</x:f>
        <x:v>0</x:v>
      </x:c>
      <x:c r="S49" s="65" t="n">
        <x:f>O49-N49-0.9*K49+L49/0.9</x:f>
        <x:v>-5.684341886080802e-14</x:v>
      </x:c>
      <x:c r="T49" s="67" t="n">
        <x:f>IF(AND(K49&gt;0.00001,L49&gt;0.00001),1,0)</x:f>
        <x:v>0</x:v>
      </x:c>
      <x:c r="U49" s="74" t="n">
        <x:f>N49/12000</x:f>
        <x:v>0.518438424382716</x:v>
      </x:c>
    </x:row>
    <x:row r="50">
      <x:c r="A50" s="49" t="str">
        <x:v>7:20-7:30</x:v>
      </x:c>
      <x:c r="B50" s="67" t="n">
        <x:v>440</x:v>
      </x:c>
      <x:c r="C50" s="73" t="n">
        <x:v>0.7972</x:v>
      </x:c>
      <x:c r="D50" s="68" t="n">
        <x:v>4545.8867</x:v>
      </x:c>
      <x:c r="E50" s="68" t="n">
        <x:v>2085.4865</x:v>
      </x:c>
      <x:c r="F50" s="68" t="n">
        <x:v>757.6477833333333</x:v>
      </x:c>
      <x:c r="G50" s="68" t="n">
        <x:v>347.5810833333333</x:v>
      </x:c>
      <x:c r="H50" s="68" t="n">
        <x:v>410.0667</x:v>
      </x:c>
      <x:c r="I50" s="68" t="n">
        <x:v>410.0667</x:v>
      </x:c>
      <x:c r="J50" s="68" t="n">
        <x:v>0</x:v>
      </x:c>
      <x:c r="K50" s="68" t="n">
        <x:v>0</x:v>
      </x:c>
      <x:c r="L50" s="68" t="n">
        <x:v>410.0667</x:v>
      </x:c>
      <x:c r="M50" s="68" t="n">
        <x:v>0</x:v>
      </x:c>
      <x:c r="N50" s="68" t="n">
        <x:v>5715.212685185185</x:v>
      </x:c>
      <x:c r="O50" s="68" t="n">
        <x:v>5259.583018518519</x:v>
      </x:c>
      <x:c r="P50" s="68" t="n">
        <x:f>C50*J50</x:f>
        <x:v>0</x:v>
      </x:c>
      <x:c r="Q50" s="68" t="n">
        <x:f>C50*I50</x:f>
        <x:v>326.90517324</x:v>
      </x:c>
      <x:c r="R50" s="65" t="n">
        <x:f>J50+G50+L50-F50-K50-M50</x:f>
        <x:v>0</x:v>
      </x:c>
      <x:c r="S50" s="65" t="n">
        <x:f>O50-N50-0.9*K50+L50/0.9</x:f>
        <x:v>0</x:v>
      </x:c>
      <x:c r="T50" s="67" t="n">
        <x:f>IF(AND(K50&gt;0.00001,L50&gt;0.00001),1,0)</x:f>
        <x:v>0</x:v>
      </x:c>
      <x:c r="U50" s="74" t="n">
        <x:f>N50/12000</x:f>
        <x:v>0.47626772376543214</x:v>
      </x:c>
    </x:row>
    <x:row r="51">
      <x:c r="A51" s="49" t="str">
        <x:v>7:30-7:40</x:v>
      </x:c>
      <x:c r="B51" s="67" t="n">
        <x:v>450</x:v>
      </x:c>
      <x:c r="C51" s="73" t="n">
        <x:v>0.7644</x:v>
      </x:c>
      <x:c r="D51" s="68" t="n">
        <x:v>4523.2418</x:v>
      </x:c>
      <x:c r="E51" s="68" t="n">
        <x:v>2381.2611</x:v>
      </x:c>
      <x:c r="F51" s="68" t="n">
        <x:v>753.8736333333333</x:v>
      </x:c>
      <x:c r="G51" s="68" t="n">
        <x:v>396.87685</x:v>
      </x:c>
      <x:c r="H51" s="68" t="n">
        <x:v>356.99678333333327</x:v>
      </x:c>
      <x:c r="I51" s="68" t="n">
        <x:v>356.99678333333327</x:v>
      </x:c>
      <x:c r="J51" s="68" t="n">
        <x:v>0</x:v>
      </x:c>
      <x:c r="K51" s="68" t="n">
        <x:v>0</x:v>
      </x:c>
      <x:c r="L51" s="68" t="n">
        <x:v>356.99678333333327</x:v>
      </x:c>
      <x:c r="M51" s="68" t="n">
        <x:v>0</x:v>
      </x:c>
      <x:c r="N51" s="68" t="n">
        <x:v>5259.583018518519</x:v>
      </x:c>
      <x:c r="O51" s="68" t="n">
        <x:v>4862.919925925926</x:v>
      </x:c>
      <x:c r="P51" s="68" t="n">
        <x:f>C51*J51</x:f>
        <x:v>0</x:v>
      </x:c>
      <x:c r="Q51" s="68" t="n">
        <x:f>C51*I51</x:f>
        <x:v>272.88834117999994</x:v>
      </x:c>
      <x:c r="R51" s="65" t="n">
        <x:f>J51+G51+L51-F51-K51-M51</x:f>
        <x:v>0</x:v>
      </x:c>
      <x:c r="S51" s="65" t="n">
        <x:f>O51-N51-0.9*K51+L51/0.9</x:f>
        <x:v>-3.410605131648481e-13</x:v>
      </x:c>
      <x:c r="T51" s="67" t="n">
        <x:f>IF(AND(K51&gt;0.00001,L51&gt;0.00001),1,0)</x:f>
        <x:v>0</x:v>
      </x:c>
      <x:c r="U51" s="74" t="n">
        <x:f>N51/12000</x:f>
        <x:v>0.4382985848765432</x:v>
      </x:c>
    </x:row>
    <x:row r="52">
      <x:c r="A52" s="49" t="str">
        <x:v>7:40-7:50</x:v>
      </x:c>
      <x:c r="B52" s="67" t="n">
        <x:v>460</x:v>
      </x:c>
      <x:c r="C52" s="73" t="n">
        <x:v>0.6899</x:v>
      </x:c>
      <x:c r="D52" s="68" t="n">
        <x:v>4383.3566</x:v>
      </x:c>
      <x:c r="E52" s="68" t="n">
        <x:v>2683.1752</x:v>
      </x:c>
      <x:c r="F52" s="68" t="n">
        <x:v>730.5594333333333</x:v>
      </x:c>
      <x:c r="G52" s="68" t="n">
        <x:v>447.1958666666667</x:v>
      </x:c>
      <x:c r="H52" s="68" t="n">
        <x:v>283.36356666666666</x:v>
      </x:c>
      <x:c r="I52" s="68" t="n">
        <x:v>283.36356666666666</x:v>
      </x:c>
      <x:c r="J52" s="68" t="n">
        <x:v>0</x:v>
      </x:c>
      <x:c r="K52" s="68" t="n">
        <x:v>0</x:v>
      </x:c>
      <x:c r="L52" s="68" t="n">
        <x:v>283.36356666668553</x:v>
      </x:c>
      <x:c r="M52" s="68" t="n">
        <x:v>0</x:v>
      </x:c>
      <x:c r="N52" s="68" t="n">
        <x:v>4862.919925925926</x:v>
      </x:c>
      <x:c r="O52" s="68" t="n">
        <x:v>4548.071518518497</x:v>
      </x:c>
      <x:c r="P52" s="68" t="n">
        <x:f>C52*J52</x:f>
        <x:v>0</x:v>
      </x:c>
      <x:c r="Q52" s="68" t="n">
        <x:f>C52*I52</x:f>
        <x:v>195.49252464333333</x:v>
      </x:c>
      <x:c r="R52" s="65" t="n">
        <x:f>J52+G52+L52-F52-K52-M52</x:f>
        <x:v>1.887201506178826e-11</x:v>
      </x:c>
      <x:c r="S52" s="65" t="n">
        <x:f>O52-N52-0.9*K52+L52/0.9</x:f>
        <x:v>-2.2737367544323206e-13</x:v>
      </x:c>
      <x:c r="T52" s="67" t="n">
        <x:f>IF(AND(K52&gt;0.00001,L52&gt;0.00001),1,0)</x:f>
        <x:v>0</x:v>
      </x:c>
      <x:c r="U52" s="74" t="n">
        <x:f>N52/12000</x:f>
        <x:v>0.4052433271604938</x:v>
      </x:c>
    </x:row>
    <x:row r="53">
      <x:c r="A53" s="49" t="str">
        <x:v>7:50-8:00</x:v>
      </x:c>
      <x:c r="B53" s="67" t="n">
        <x:v>470</x:v>
      </x:c>
      <x:c r="C53" s="73" t="n">
        <x:v>0.86</x:v>
      </x:c>
      <x:c r="D53" s="68" t="n">
        <x:v>4910.4599</x:v>
      </x:c>
      <x:c r="E53" s="68" t="n">
        <x:v>2986.3552</x:v>
      </x:c>
      <x:c r="F53" s="68" t="n">
        <x:v>818.4099833333332</x:v>
      </x:c>
      <x:c r="G53" s="68" t="n">
        <x:v>497.72586666666666</x:v>
      </x:c>
      <x:c r="H53" s="68" t="n">
        <x:v>320.68411666666657</x:v>
      </x:c>
      <x:c r="I53" s="68" t="n">
        <x:v>320.68411666666657</x:v>
      </x:c>
      <x:c r="J53" s="68" t="n">
        <x:v>0</x:v>
      </x:c>
      <x:c r="K53" s="68" t="n">
        <x:v>0</x:v>
      </x:c>
      <x:c r="L53" s="68" t="n">
        <x:v>320.68411666666657</x:v>
      </x:c>
      <x:c r="M53" s="68" t="n">
        <x:v>0</x:v>
      </x:c>
      <x:c r="N53" s="68" t="n">
        <x:v>4548.071518518497</x:v>
      </x:c>
      <x:c r="O53" s="68" t="n">
        <x:v>4191.755833333312</x:v>
      </x:c>
      <x:c r="P53" s="68" t="n">
        <x:f>C53*J53</x:f>
        <x:v>0</x:v>
      </x:c>
      <x:c r="Q53" s="68" t="n">
        <x:f>C53*I53</x:f>
        <x:v>275.7883403333332</x:v>
      </x:c>
      <x:c r="R53" s="65" t="n">
        <x:f>J53+G53+L53-F53-K53-M53</x:f>
        <x:v>0</x:v>
      </x:c>
      <x:c r="S53" s="65" t="n">
        <x:f>O53-N53-0.9*K53+L53/0.9</x:f>
        <x:v>-3.410605131648481e-13</x:v>
      </x:c>
      <x:c r="T53" s="67" t="n">
        <x:f>IF(AND(K53&gt;0.00001,L53&gt;0.00001),1,0)</x:f>
        <x:v>0</x:v>
      </x:c>
      <x:c r="U53" s="74" t="n">
        <x:f>N53/12000</x:f>
        <x:v>0.37900595987654145</x:v>
      </x:c>
    </x:row>
    <x:row r="54">
      <x:c r="A54" s="49" t="str">
        <x:v>8:00-8:10</x:v>
      </x:c>
      <x:c r="B54" s="67" t="n">
        <x:v>480</x:v>
      </x:c>
      <x:c r="C54" s="73" t="n">
        <x:v>1.1617</x:v>
      </x:c>
      <x:c r="D54" s="68" t="n">
        <x:v>5799.7327</x:v>
      </x:c>
      <x:c r="E54" s="68" t="n">
        <x:v>3289.204</x:v>
      </x:c>
      <x:c r="F54" s="68" t="n">
        <x:v>966.6221166666666</x:v>
      </x:c>
      <x:c r="G54" s="68" t="n">
        <x:v>548.2006666666666</x:v>
      </x:c>
      <x:c r="H54" s="68" t="n">
        <x:v>418.42144999999994</x:v>
      </x:c>
      <x:c r="I54" s="68" t="n">
        <x:v>418.42144999999994</x:v>
      </x:c>
      <x:c r="J54" s="68" t="n">
        <x:v>0</x:v>
      </x:c>
      <x:c r="K54" s="68" t="n">
        <x:v>0</x:v>
      </x:c>
      <x:c r="L54" s="68" t="n">
        <x:v>418.42144999999994</x:v>
      </x:c>
      <x:c r="M54" s="68" t="n">
        <x:v>0</x:v>
      </x:c>
      <x:c r="N54" s="68" t="n">
        <x:v>4191.755833333312</x:v>
      </x:c>
      <x:c r="O54" s="68" t="n">
        <x:v>3726.8431111110895</x:v>
      </x:c>
      <x:c r="P54" s="68" t="n">
        <x:f>C54*J54</x:f>
        <x:v>0</x:v>
      </x:c>
      <x:c r="Q54" s="68" t="n">
        <x:f>C54*I54</x:f>
        <x:v>486.0801984649999</x:v>
      </x:c>
      <x:c r="R54" s="65" t="n">
        <x:f>J54+G54+L54-F54-K54-M54</x:f>
        <x:v>0</x:v>
      </x:c>
      <x:c r="S54" s="65" t="n">
        <x:f>O54-N54-0.9*K54+L54/0.9</x:f>
        <x:v>-1.7053025658242404e-13</x:v>
      </x:c>
      <x:c r="T54" s="67" t="n">
        <x:f>IF(AND(K54&gt;0.00001,L54&gt;0.00001),1,0)</x:f>
        <x:v>0</x:v>
      </x:c>
      <x:c r="U54" s="74" t="n">
        <x:f>N54/12000</x:f>
        <x:v>0.34931298611110934</x:v>
      </x:c>
    </x:row>
    <x:row r="55">
      <x:c r="A55" s="49" t="str">
        <x:v>8:10-8:20</x:v>
      </x:c>
      <x:c r="B55" s="67" t="n">
        <x:v>490</x:v>
      </x:c>
      <x:c r="C55" s="73" t="n">
        <x:v>1.1683</x:v>
      </x:c>
      <x:c r="D55" s="68" t="n">
        <x:v>5884.826</x:v>
      </x:c>
      <x:c r="E55" s="68" t="n">
        <x:v>3593.3613</x:v>
      </x:c>
      <x:c r="F55" s="68" t="n">
        <x:v>980.8043333333333</x:v>
      </x:c>
      <x:c r="G55" s="68" t="n">
        <x:v>598.89355</x:v>
      </x:c>
      <x:c r="H55" s="68" t="n">
        <x:v>381.91078333333326</x:v>
      </x:c>
      <x:c r="I55" s="68" t="n">
        <x:v>381.91078333333326</x:v>
      </x:c>
      <x:c r="J55" s="68" t="n">
        <x:v>0</x:v>
      </x:c>
      <x:c r="K55" s="68" t="n">
        <x:v>0</x:v>
      </x:c>
      <x:c r="L55" s="68" t="n">
        <x:v>381.91078333333326</x:v>
      </x:c>
      <x:c r="M55" s="68" t="n">
        <x:v>0</x:v>
      </x:c>
      <x:c r="N55" s="68" t="n">
        <x:v>3726.8431111110895</x:v>
      </x:c>
      <x:c r="O55" s="68" t="n">
        <x:v>3302.497796296275</x:v>
      </x:c>
      <x:c r="P55" s="68" t="n">
        <x:f>C55*J55</x:f>
        <x:v>0</x:v>
      </x:c>
      <x:c r="Q55" s="68" t="n">
        <x:f>C55*I55</x:f>
        <x:v>446.1863681683332</x:v>
      </x:c>
      <x:c r="R55" s="65" t="n">
        <x:f>J55+G55+L55-F55-K55-M55</x:f>
        <x:v>0</x:v>
      </x:c>
      <x:c r="S55" s="65" t="n">
        <x:f>O55-N55-0.9*K55+L55/0.9</x:f>
        <x:v>1.1368683772161603e-13</x:v>
      </x:c>
      <x:c r="T55" s="67" t="n">
        <x:f>IF(AND(K55&gt;0.00001,L55&gt;0.00001),1,0)</x:f>
        <x:v>0</x:v>
      </x:c>
      <x:c r="U55" s="74" t="n">
        <x:f>N55/12000</x:f>
        <x:v>0.31057025925925746</x:v>
      </x:c>
    </x:row>
    <x:row r="56">
      <x:c r="A56" s="49" t="str">
        <x:v>8:20-8:30</x:v>
      </x:c>
      <x:c r="B56" s="67" t="n">
        <x:v>500</x:v>
      </x:c>
      <x:c r="C56" s="73" t="n">
        <x:v>1.0956</x:v>
      </x:c>
      <x:c r="D56" s="68" t="n">
        <x:v>5748.0713</x:v>
      </x:c>
      <x:c r="E56" s="68" t="n">
        <x:v>3890.7332</x:v>
      </x:c>
      <x:c r="F56" s="68" t="n">
        <x:v>958.0118833333332</x:v>
      </x:c>
      <x:c r="G56" s="68" t="n">
        <x:v>648.4555333333333</x:v>
      </x:c>
      <x:c r="H56" s="68" t="n">
        <x:v>309.55634999999995</x:v>
      </x:c>
      <x:c r="I56" s="68" t="n">
        <x:v>309.55634999999995</x:v>
      </x:c>
      <x:c r="J56" s="68" t="n">
        <x:v>0</x:v>
      </x:c>
      <x:c r="K56" s="68" t="n">
        <x:v>0</x:v>
      </x:c>
      <x:c r="L56" s="68" t="n">
        <x:v>309.55634999999995</x:v>
      </x:c>
      <x:c r="M56" s="68" t="n">
        <x:v>0</x:v>
      </x:c>
      <x:c r="N56" s="68" t="n">
        <x:v>3302.497796296275</x:v>
      </x:c>
      <x:c r="O56" s="68" t="n">
        <x:v>2958.5462962962747</x:v>
      </x:c>
      <x:c r="P56" s="68" t="n">
        <x:f>C56*J56</x:f>
        <x:v>0</x:v>
      </x:c>
      <x:c r="Q56" s="68" t="n">
        <x:f>C56*I56</x:f>
        <x:v>339.1499370599999</x:v>
      </x:c>
      <x:c r="R56" s="65" t="n">
        <x:f>J56+G56+L56-F56-K56-M56</x:f>
        <x:v>0</x:v>
      </x:c>
      <x:c r="S56" s="65" t="n">
        <x:f>O56-N56-0.9*K56+L56/0.9</x:f>
        <x:v>-1.7053025658242404e-13</x:v>
      </x:c>
      <x:c r="T56" s="67" t="n">
        <x:f>IF(AND(K56&gt;0.00001,L56&gt;0.00001),1,0)</x:f>
        <x:v>0</x:v>
      </x:c>
      <x:c r="U56" s="74" t="n">
        <x:f>N56/12000</x:f>
        <x:v>0.27520814969135626</x:v>
      </x:c>
    </x:row>
    <x:row r="57">
      <x:c r="A57" s="49" t="str">
        <x:v>8:30-8:40</x:v>
      </x:c>
      <x:c r="B57" s="67" t="n">
        <x:v>510</x:v>
      </x:c>
      <x:c r="C57" s="73" t="n">
        <x:v>1.0849</x:v>
      </x:c>
      <x:c r="D57" s="68" t="n">
        <x:v>5769.0581</x:v>
      </x:c>
      <x:c r="E57" s="68" t="n">
        <x:v>4181.3417</x:v>
      </x:c>
      <x:c r="F57" s="68" t="n">
        <x:v>961.5096833333333</x:v>
      </x:c>
      <x:c r="G57" s="68" t="n">
        <x:v>696.8902833333333</x:v>
      </x:c>
      <x:c r="H57" s="68" t="n">
        <x:v>264.61940000000004</x:v>
      </x:c>
      <x:c r="I57" s="68" t="n">
        <x:v>264.61940000000004</x:v>
      </x:c>
      <x:c r="J57" s="68" t="n">
        <x:v>0</x:v>
      </x:c>
      <x:c r="K57" s="68" t="n">
        <x:v>0</x:v>
      </x:c>
      <x:c r="L57" s="68" t="n">
        <x:v>264.61940000000004</x:v>
      </x:c>
      <x:c r="M57" s="68" t="n">
        <x:v>0</x:v>
      </x:c>
      <x:c r="N57" s="68" t="n">
        <x:v>2958.5462962962747</x:v>
      </x:c>
      <x:c r="O57" s="68" t="n">
        <x:v>2664.524740740719</x:v>
      </x:c>
      <x:c r="P57" s="68" t="n">
        <x:f>C57*J57</x:f>
        <x:v>0</x:v>
      </x:c>
      <x:c r="Q57" s="68" t="n">
        <x:f>C57*I57</x:f>
        <x:v>287.08558706</x:v>
      </x:c>
      <x:c r="R57" s="65" t="n">
        <x:f>J57+G57+L57-F57-K57-M57</x:f>
        <x:v>0</x:v>
      </x:c>
      <x:c r="S57" s="65" t="n">
        <x:f>O57-N57-0.9*K57+L57/0.9</x:f>
        <x:v>5.684341886080802e-14</x:v>
      </x:c>
      <x:c r="T57" s="67" t="n">
        <x:f>IF(AND(K57&gt;0.00001,L57&gt;0.00001),1,0)</x:f>
        <x:v>0</x:v>
      </x:c>
      <x:c r="U57" s="74" t="n">
        <x:f>N57/12000</x:f>
        <x:v>0.24654552469135624</x:v>
      </x:c>
    </x:row>
    <x:row r="58">
      <x:c r="A58" s="49" t="str">
        <x:v>8:40-8:50</x:v>
      </x:c>
      <x:c r="B58" s="67" t="n">
        <x:v>520</x:v>
      </x:c>
      <x:c r="C58" s="73" t="n">
        <x:v>1.061</x:v>
      </x:c>
      <x:c r="D58" s="68" t="n">
        <x:v>5754.2105</x:v>
      </x:c>
      <x:c r="E58" s="68" t="n">
        <x:v>4471.7657</x:v>
      </x:c>
      <x:c r="F58" s="68" t="n">
        <x:v>959.0350833333333</x:v>
      </x:c>
      <x:c r="G58" s="68" t="n">
        <x:v>745.2942833333333</x:v>
      </x:c>
      <x:c r="H58" s="68" t="n">
        <x:v>213.74080000000004</x:v>
      </x:c>
      <x:c r="I58" s="68" t="n">
        <x:v>213.74080000000004</x:v>
      </x:c>
      <x:c r="J58" s="68" t="n">
        <x:v>0</x:v>
      </x:c>
      <x:c r="K58" s="68" t="n">
        <x:v>0</x:v>
      </x:c>
      <x:c r="L58" s="68" t="n">
        <x:v>213.74080000000004</x:v>
      </x:c>
      <x:c r="M58" s="68" t="n">
        <x:v>0</x:v>
      </x:c>
      <x:c r="N58" s="68" t="n">
        <x:v>2664.524740740719</x:v>
      </x:c>
      <x:c r="O58" s="68" t="n">
        <x:v>2427.0349629629413</x:v>
      </x:c>
      <x:c r="P58" s="68" t="n">
        <x:f>C58*J58</x:f>
        <x:v>0</x:v>
      </x:c>
      <x:c r="Q58" s="68" t="n">
        <x:f>C58*I58</x:f>
        <x:v>226.77898880000004</x:v>
      </x:c>
      <x:c r="R58" s="65" t="n">
        <x:f>J58+G58+L58-F58-K58-M58</x:f>
        <x:v>0</x:v>
      </x:c>
      <x:c r="S58" s="65" t="n">
        <x:f>O58-N58-0.9*K58+L58/0.9</x:f>
        <x:v>0</x:v>
      </x:c>
      <x:c r="T58" s="67" t="n">
        <x:f>IF(AND(K58&gt;0.00001,L58&gt;0.00001),1,0)</x:f>
        <x:v>0</x:v>
      </x:c>
      <x:c r="U58" s="74" t="n">
        <x:f>N58/12000</x:f>
        <x:v>0.22204372839505992</x:v>
      </x:c>
    </x:row>
    <x:row r="59">
      <x:c r="A59" s="49" t="str">
        <x:v>8:50-9:00</x:v>
      </x:c>
      <x:c r="B59" s="67" t="n">
        <x:v>530</x:v>
      </x:c>
      <x:c r="C59" s="73" t="n">
        <x:v>1.043</x:v>
      </x:c>
      <x:c r="D59" s="68" t="n">
        <x:v>5824.1807</x:v>
      </x:c>
      <x:c r="E59" s="68" t="n">
        <x:v>4752.8272</x:v>
      </x:c>
      <x:c r="F59" s="68" t="n">
        <x:v>970.6967833333333</x:v>
      </x:c>
      <x:c r="G59" s="68" t="n">
        <x:v>792.1378666666666</x:v>
      </x:c>
      <x:c r="H59" s="68" t="n">
        <x:v>178.55891666666673</x:v>
      </x:c>
      <x:c r="I59" s="68" t="n">
        <x:v>178.55891666666673</x:v>
      </x:c>
      <x:c r="J59" s="68" t="n">
        <x:v>0</x:v>
      </x:c>
      <x:c r="K59" s="68" t="n">
        <x:v>0</x:v>
      </x:c>
      <x:c r="L59" s="68" t="n">
        <x:v>178.55891666666673</x:v>
      </x:c>
      <x:c r="M59" s="68" t="n">
        <x:v>0</x:v>
      </x:c>
      <x:c r="N59" s="68" t="n">
        <x:v>2427.0349629629413</x:v>
      </x:c>
      <x:c r="O59" s="68" t="n">
        <x:v>2228.636166666645</x:v>
      </x:c>
      <x:c r="P59" s="68" t="n">
        <x:f>C59*J59</x:f>
        <x:v>0</x:v>
      </x:c>
      <x:c r="Q59" s="68" t="n">
        <x:f>C59*I59</x:f>
        <x:v>186.2369500833334</x:v>
      </x:c>
      <x:c r="R59" s="65" t="n">
        <x:f>J59+G59+L59-F59-K59-M59</x:f>
        <x:v>0</x:v>
      </x:c>
      <x:c r="S59" s="65" t="n">
        <x:f>O59-N59-0.9*K59+L59/0.9</x:f>
        <x:v>-1.4210854715202004e-13</x:v>
      </x:c>
      <x:c r="T59" s="67" t="n">
        <x:f>IF(AND(K59&gt;0.00001,L59&gt;0.00001),1,0)</x:f>
        <x:v>0</x:v>
      </x:c>
      <x:c r="U59" s="74" t="n">
        <x:f>N59/12000</x:f>
        <x:v>0.2022529135802451</x:v>
      </x:c>
    </x:row>
    <x:row r="60">
      <x:c r="A60" s="49" t="str">
        <x:v>9:00-9:10</x:v>
      </x:c>
      <x:c r="B60" s="67" t="n">
        <x:v>540</x:v>
      </x:c>
      <x:c r="C60" s="73" t="n">
        <x:v>1.036</x:v>
      </x:c>
      <x:c r="D60" s="68" t="n">
        <x:v>5954.2601</x:v>
      </x:c>
      <x:c r="E60" s="68" t="n">
        <x:v>5021.9074</x:v>
      </x:c>
      <x:c r="F60" s="68" t="n">
        <x:v>992.3766833333334</x:v>
      </x:c>
      <x:c r="G60" s="68" t="n">
        <x:v>836.9845666666666</x:v>
      </x:c>
      <x:c r="H60" s="68" t="n">
        <x:v>155.39211666666677</x:v>
      </x:c>
      <x:c r="I60" s="68" t="n">
        <x:v>155.39211666666677</x:v>
      </x:c>
      <x:c r="J60" s="68" t="n">
        <x:v>0</x:v>
      </x:c>
      <x:c r="K60" s="68" t="n">
        <x:v>0</x:v>
      </x:c>
      <x:c r="L60" s="68" t="n">
        <x:v>155.39211666666677</x:v>
      </x:c>
      <x:c r="M60" s="68" t="n">
        <x:v>0</x:v>
      </x:c>
      <x:c r="N60" s="68" t="n">
        <x:v>2228.636166666645</x:v>
      </x:c>
      <x:c r="O60" s="68" t="n">
        <x:v>2055.9782592592373</x:v>
      </x:c>
      <x:c r="P60" s="68" t="n">
        <x:f>C60*J60</x:f>
        <x:v>0</x:v>
      </x:c>
      <x:c r="Q60" s="68" t="n">
        <x:f>C60*I60</x:f>
        <x:v>160.98623286666677</x:v>
      </x:c>
      <x:c r="R60" s="65" t="n">
        <x:f>J60+G60+L60-F60-K60-M60</x:f>
        <x:v>0</x:v>
      </x:c>
      <x:c r="S60" s="65" t="n">
        <x:f>O60-N60-0.9*K60+L60/0.9</x:f>
        <x:v>2.842170943040401e-14</x:v>
      </x:c>
      <x:c r="T60" s="67" t="n">
        <x:f>IF(AND(K60&gt;0.00001,L60&gt;0.00001),1,0)</x:f>
        <x:v>0</x:v>
      </x:c>
      <x:c r="U60" s="74" t="n">
        <x:f>N60/12000</x:f>
        <x:v>0.18571968055555374</x:v>
      </x:c>
    </x:row>
    <x:row r="61">
      <x:c r="A61" s="49" t="str">
        <x:v>9:10-9:20</x:v>
      </x:c>
      <x:c r="B61" s="67" t="n">
        <x:v>550</x:v>
      </x:c>
      <x:c r="C61" s="73" t="n">
        <x:v>1.0147</x:v>
      </x:c>
      <x:c r="D61" s="68" t="n">
        <x:v>5958.9696</x:v>
      </x:c>
      <x:c r="E61" s="68" t="n">
        <x:v>5285.4126</x:v>
      </x:c>
      <x:c r="F61" s="68" t="n">
        <x:v>993.1616</x:v>
      </x:c>
      <x:c r="G61" s="68" t="n">
        <x:v>880.9020999999999</x:v>
      </x:c>
      <x:c r="H61" s="68" t="n">
        <x:v>112.25950000000012</x:v>
      </x:c>
      <x:c r="I61" s="68" t="n">
        <x:v>112.25950000000012</x:v>
      </x:c>
      <x:c r="J61" s="68" t="n">
        <x:v>0</x:v>
      </x:c>
      <x:c r="K61" s="68" t="n">
        <x:v>0</x:v>
      </x:c>
      <x:c r="L61" s="68" t="n">
        <x:v>112.25950000000012</x:v>
      </x:c>
      <x:c r="M61" s="68" t="n">
        <x:v>0</x:v>
      </x:c>
      <x:c r="N61" s="68" t="n">
        <x:v>2055.9782592592373</x:v>
      </x:c>
      <x:c r="O61" s="68" t="n">
        <x:v>1931.2454814814594</x:v>
      </x:c>
      <x:c r="P61" s="68" t="n">
        <x:f>C61*J61</x:f>
        <x:v>0</x:v>
      </x:c>
      <x:c r="Q61" s="68" t="n">
        <x:f>C61*I61</x:f>
        <x:v>113.90971465000011</x:v>
      </x:c>
      <x:c r="R61" s="65" t="n">
        <x:f>J61+G61+L61-F61-K61-M61</x:f>
        <x:v>0</x:v>
      </x:c>
      <x:c r="S61" s="65" t="n">
        <x:f>O61-N61-0.9*K61+L61/0.9</x:f>
        <x:v>-8.526512829121202e-14</x:v>
      </x:c>
      <x:c r="T61" s="67" t="n">
        <x:f>IF(AND(K61&gt;0.00001,L61&gt;0.00001),1,0)</x:f>
        <x:v>0</x:v>
      </x:c>
      <x:c r="U61" s="74" t="n">
        <x:f>N61/12000</x:f>
        <x:v>0.17133152160493645</x:v>
      </x:c>
    </x:row>
    <x:row r="62">
      <x:c r="A62" s="49" t="str">
        <x:v>9:20-9:30</x:v>
      </x:c>
      <x:c r="B62" s="67" t="n">
        <x:v>560</x:v>
      </x:c>
      <x:c r="C62" s="73" t="n">
        <x:v>0.9922</x:v>
      </x:c>
      <x:c r="D62" s="68" t="n">
        <x:v>5929.5554</x:v>
      </x:c>
      <x:c r="E62" s="68" t="n">
        <x:v>5543.1742</x:v>
      </x:c>
      <x:c r="F62" s="68" t="n">
        <x:v>988.2592333333333</x:v>
      </x:c>
      <x:c r="G62" s="68" t="n">
        <x:v>923.8623666666667</x:v>
      </x:c>
      <x:c r="H62" s="68" t="n">
        <x:v>64.3968666666666</x:v>
      </x:c>
      <x:c r="I62" s="68" t="n">
        <x:v>64.3968666666666</x:v>
      </x:c>
      <x:c r="J62" s="68" t="n">
        <x:v>0</x:v>
      </x:c>
      <x:c r="K62" s="68" t="n">
        <x:v>0</x:v>
      </x:c>
      <x:c r="L62" s="68" t="n">
        <x:v>64.3968666666666</x:v>
      </x:c>
      <x:c r="M62" s="68" t="n">
        <x:v>0</x:v>
      </x:c>
      <x:c r="N62" s="68" t="n">
        <x:v>1931.2454814814594</x:v>
      </x:c>
      <x:c r="O62" s="68" t="n">
        <x:v>1859.6934074073854</x:v>
      </x:c>
      <x:c r="P62" s="68" t="n">
        <x:f>C62*J62</x:f>
        <x:v>0</x:v>
      </x:c>
      <x:c r="Q62" s="68" t="n">
        <x:f>C62*I62</x:f>
        <x:v>63.8945711066666</x:v>
      </x:c>
      <x:c r="R62" s="65" t="n">
        <x:f>J62+G62+L62-F62-K62-M62</x:f>
        <x:v>0</x:v>
      </x:c>
      <x:c r="S62" s="65" t="n">
        <x:f>O62-N62-0.9*K62+L62/0.9</x:f>
        <x:v>2.842170943040401e-14</x:v>
      </x:c>
      <x:c r="T62" s="67" t="n">
        <x:f>IF(AND(K62&gt;0.00001,L62&gt;0.00001),1,0)</x:f>
        <x:v>0</x:v>
      </x:c>
      <x:c r="U62" s="74" t="n">
        <x:f>N62/12000</x:f>
        <x:v>0.1609371234567883</x:v>
      </x:c>
    </x:row>
    <x:row r="63">
      <x:c r="A63" s="49" t="str">
        <x:v>9:30-9:40</x:v>
      </x:c>
      <x:c r="B63" s="67" t="n">
        <x:v>570</x:v>
      </x:c>
      <x:c r="C63" s="73" t="n">
        <x:v>0.97</x:v>
      </x:c>
      <x:c r="D63" s="68" t="n">
        <x:v>5923.7828</x:v>
      </x:c>
      <x:c r="E63" s="68" t="n">
        <x:v>5788.4093</x:v>
      </x:c>
      <x:c r="F63" s="68" t="n">
        <x:v>987.2971333333332</x:v>
      </x:c>
      <x:c r="G63" s="68" t="n">
        <x:v>964.7348833333333</x:v>
      </x:c>
      <x:c r="H63" s="68" t="n">
        <x:v>22.56224999999995</x:v>
      </x:c>
      <x:c r="I63" s="68" t="n">
        <x:v>22.56224999999995</x:v>
      </x:c>
      <x:c r="J63" s="68" t="n">
        <x:v>0</x:v>
      </x:c>
      <x:c r="K63" s="68" t="n">
        <x:v>0</x:v>
      </x:c>
      <x:c r="L63" s="68" t="n">
        <x:v>22.56224999999995</x:v>
      </x:c>
      <x:c r="M63" s="68" t="n">
        <x:v>0</x:v>
      </x:c>
      <x:c r="N63" s="68" t="n">
        <x:v>1859.6934074073854</x:v>
      </x:c>
      <x:c r="O63" s="68" t="n">
        <x:v>1834.6242407407187</x:v>
      </x:c>
      <x:c r="P63" s="68" t="n">
        <x:f>C63*J63</x:f>
        <x:v>0</x:v>
      </x:c>
      <x:c r="Q63" s="68" t="n">
        <x:f>C63*I63</x:f>
        <x:v>21.88538249999995</x:v>
      </x:c>
      <x:c r="R63" s="65" t="n">
        <x:f>J63+G63+L63-F63-K63-M63</x:f>
        <x:v>0</x:v>
      </x:c>
      <x:c r="S63" s="65" t="n">
        <x:f>O63-N63-0.9*K63+L63/0.9</x:f>
        <x:v>-4.973799150320701e-14</x:v>
      </x:c>
      <x:c r="T63" s="67" t="n">
        <x:f>IF(AND(K63&gt;0.00001,L63&gt;0.00001),1,0)</x:f>
        <x:v>0</x:v>
      </x:c>
      <x:c r="U63" s="74" t="n">
        <x:f>N63/12000</x:f>
        <x:v>0.15497445061728213</x:v>
      </x:c>
    </x:row>
    <x:row r="64">
      <x:c r="A64" s="49" t="str">
        <x:v>9:40-9:50</x:v>
      </x:c>
      <x:c r="B64" s="67" t="n">
        <x:v>580</x:v>
      </x:c>
      <x:c r="C64" s="73" t="n">
        <x:v>0.9422</x:v>
      </x:c>
      <x:c r="D64" s="68" t="n">
        <x:v>5907.586</x:v>
      </x:c>
      <x:c r="E64" s="68" t="n">
        <x:v>6012.1304</x:v>
      </x:c>
      <x:c r="F64" s="68" t="n">
        <x:v>984.5976666666667</x:v>
      </x:c>
      <x:c r="G64" s="68" t="n">
        <x:v>1002.0217333333333</x:v>
      </x:c>
      <x:c r="H64" s="68" t="n">
        <x:v>-17.42406666666659</x:v>
      </x:c>
      <x:c r="I64" s="68" t="n">
        <x:v>0</x:v>
      </x:c>
      <x:c r="J64" s="68" t="n">
        <x:v>0</x:v>
      </x:c>
      <x:c r="K64" s="68" t="n">
        <x:v>17.42406666666659</x:v>
      </x:c>
      <x:c r="L64" s="68" t="n">
        <x:v>0</x:v>
      </x:c>
      <x:c r="M64" s="68" t="n">
        <x:v>0</x:v>
      </x:c>
      <x:c r="N64" s="68" t="n">
        <x:v>1834.6242407407187</x:v>
      </x:c>
      <x:c r="O64" s="68" t="n">
        <x:v>1850.3059007407187</x:v>
      </x:c>
      <x:c r="P64" s="68" t="n">
        <x:f>C64*J64</x:f>
        <x:v>0</x:v>
      </x:c>
      <x:c r="Q64" s="68" t="n">
        <x:f>C64*I64</x:f>
        <x:v>0</x:v>
      </x:c>
      <x:c r="R64" s="65" t="n">
        <x:f>J64+G64+L64-F64-K64-M64</x:f>
        <x:v>0</x:v>
      </x:c>
      <x:c r="S64" s="65" t="n">
        <x:f>O64-N64-0.9*K64+L64/0.9</x:f>
        <x:v>3.375077994860476e-14</x:v>
      </x:c>
      <x:c r="T64" s="67" t="n">
        <x:f>IF(AND(K64&gt;0.00001,L64&gt;0.00001),1,0)</x:f>
        <x:v>0</x:v>
      </x:c>
      <x:c r="U64" s="74" t="n">
        <x:f>N64/12000</x:f>
        <x:v>0.1528853533950599</x:v>
      </x:c>
    </x:row>
    <x:row r="65">
      <x:c r="A65" s="49" t="str">
        <x:v>9:50-10:00</x:v>
      </x:c>
      <x:c r="B65" s="67" t="n">
        <x:v>590</x:v>
      </x:c>
      <x:c r="C65" s="73" t="n">
        <x:v>0.9569</x:v>
      </x:c>
      <x:c r="D65" s="68" t="n">
        <x:v>5899.1262</x:v>
      </x:c>
      <x:c r="E65" s="68" t="n">
        <x:v>6216.1528</x:v>
      </x:c>
      <x:c r="F65" s="68" t="n">
        <x:v>983.1877</x:v>
      </x:c>
      <x:c r="G65" s="68" t="n">
        <x:v>1036.0254666666665</x:v>
      </x:c>
      <x:c r="H65" s="68" t="n">
        <x:v>-52.83776666666654</x:v>
      </x:c>
      <x:c r="I65" s="68" t="n">
        <x:v>0</x:v>
      </x:c>
      <x:c r="J65" s="68" t="n">
        <x:v>0</x:v>
      </x:c>
      <x:c r="K65" s="68" t="n">
        <x:v>52.83776666666654</x:v>
      </x:c>
      <x:c r="L65" s="68" t="n">
        <x:v>0</x:v>
      </x:c>
      <x:c r="M65" s="68" t="n">
        <x:v>0</x:v>
      </x:c>
      <x:c r="N65" s="68" t="n">
        <x:v>1850.3059007407187</x:v>
      </x:c>
      <x:c r="O65" s="68" t="n">
        <x:v>1897.8598907407186</x:v>
      </x:c>
      <x:c r="P65" s="68" t="n">
        <x:f>C65*J65</x:f>
        <x:v>0</x:v>
      </x:c>
      <x:c r="Q65" s="68" t="n">
        <x:f>C65*I65</x:f>
        <x:v>0</x:v>
      </x:c>
      <x:c r="R65" s="65" t="n">
        <x:f>J65+G65+L65-F65-K65-M65</x:f>
        <x:v>0</x:v>
      </x:c>
      <x:c r="S65" s="65" t="n">
        <x:f>O65-N65-0.9*K65+L65/0.9</x:f>
        <x:v>0</x:v>
      </x:c>
      <x:c r="T65" s="67" t="n">
        <x:f>IF(AND(K65&gt;0.00001,L65&gt;0.00001),1,0)</x:f>
        <x:v>0</x:v>
      </x:c>
      <x:c r="U65" s="74" t="n">
        <x:f>N65/12000</x:f>
        <x:v>0.1541921583950599</x:v>
      </x:c>
    </x:row>
    <x:row r="66">
      <x:c r="A66" s="49" t="str">
        <x:v>10:00-10:10</x:v>
      </x:c>
      <x:c r="B66" s="67" t="n">
        <x:v>600</x:v>
      </x:c>
      <x:c r="C66" s="73" t="n">
        <x:v>0.9977</x:v>
      </x:c>
      <x:c r="D66" s="68" t="n">
        <x:v>5902.2196</x:v>
      </x:c>
      <x:c r="E66" s="68" t="n">
        <x:v>6409.5941</x:v>
      </x:c>
      <x:c r="F66" s="68" t="n">
        <x:v>983.7032666666667</x:v>
      </x:c>
      <x:c r="G66" s="68" t="n">
        <x:v>1068.2656833333333</x:v>
      </x:c>
      <x:c r="H66" s="68" t="n">
        <x:v>-84.56241666666665</x:v>
      </x:c>
      <x:c r="I66" s="68" t="n">
        <x:v>0</x:v>
      </x:c>
      <x:c r="J66" s="68" t="n">
        <x:v>0</x:v>
      </x:c>
      <x:c r="K66" s="68" t="n">
        <x:v>84.56241666666665</x:v>
      </x:c>
      <x:c r="L66" s="68" t="n">
        <x:v>0</x:v>
      </x:c>
      <x:c r="M66" s="68" t="n">
        <x:v>0</x:v>
      </x:c>
      <x:c r="N66" s="68" t="n">
        <x:v>1897.8598907407186</x:v>
      </x:c>
      <x:c r="O66" s="68" t="n">
        <x:v>1973.9660657407185</x:v>
      </x:c>
      <x:c r="P66" s="68" t="n">
        <x:f>C66*J66</x:f>
        <x:v>0</x:v>
      </x:c>
      <x:c r="Q66" s="68" t="n">
        <x:f>C66*I66</x:f>
        <x:v>0</x:v>
      </x:c>
      <x:c r="R66" s="65" t="n">
        <x:f>J66+G66+L66-F66-K66-M66</x:f>
        <x:v>0</x:v>
      </x:c>
      <x:c r="S66" s="65" t="n">
        <x:f>O66-N66-0.9*K66+L66/0.9</x:f>
        <x:v>-9.947598300641403e-14</x:v>
      </x:c>
      <x:c r="T66" s="67" t="n">
        <x:f>IF(AND(K66&gt;0.00001,L66&gt;0.00001),1,0)</x:f>
        <x:v>0</x:v>
      </x:c>
      <x:c r="U66" s="74" t="n">
        <x:f>N66/12000</x:f>
        <x:v>0.15815499089505988</x:v>
      </x:c>
    </x:row>
    <x:row r="67">
      <x:c r="A67" s="49" t="str">
        <x:v>10:10-10:20</x:v>
      </x:c>
      <x:c r="B67" s="67" t="n">
        <x:v>610</x:v>
      </x:c>
      <x:c r="C67" s="73" t="n">
        <x:v>0.9919</x:v>
      </x:c>
      <x:c r="D67" s="68" t="n">
        <x:v>5897.4793</x:v>
      </x:c>
      <x:c r="E67" s="68" t="n">
        <x:v>6599.3808</x:v>
      </x:c>
      <x:c r="F67" s="68" t="n">
        <x:v>982.9132166666666</x:v>
      </x:c>
      <x:c r="G67" s="68" t="n">
        <x:v>1099.8968</x:v>
      </x:c>
      <x:c r="H67" s="68" t="n">
        <x:v>-116.9835833333334</x:v>
      </x:c>
      <x:c r="I67" s="68" t="n">
        <x:v>0</x:v>
      </x:c>
      <x:c r="J67" s="68" t="n">
        <x:v>0</x:v>
      </x:c>
      <x:c r="K67" s="68" t="n">
        <x:v>116.9835833333334</x:v>
      </x:c>
      <x:c r="L67" s="68" t="n">
        <x:v>0</x:v>
      </x:c>
      <x:c r="M67" s="68" t="n">
        <x:v>0</x:v>
      </x:c>
      <x:c r="N67" s="68" t="n">
        <x:v>1973.9660657407185</x:v>
      </x:c>
      <x:c r="O67" s="68" t="n">
        <x:v>2079.2512907407186</x:v>
      </x:c>
      <x:c r="P67" s="68" t="n">
        <x:f>C67*J67</x:f>
        <x:v>0</x:v>
      </x:c>
      <x:c r="Q67" s="68" t="n">
        <x:f>C67*I67</x:f>
        <x:v>0</x:v>
      </x:c>
      <x:c r="R67" s="65" t="n">
        <x:f>J67+G67+L67-F67-K67-M67</x:f>
        <x:v>0</x:v>
      </x:c>
      <x:c r="S67" s="65" t="n">
        <x:f>O67-N67-0.9*K67+L67/0.9</x:f>
        <x:v>1.4210854715202004e-14</x:v>
      </x:c>
      <x:c r="T67" s="67" t="n">
        <x:f>IF(AND(K67&gt;0.00001,L67&gt;0.00001),1,0)</x:f>
        <x:v>0</x:v>
      </x:c>
      <x:c r="U67" s="74" t="n">
        <x:f>N67/12000</x:f>
        <x:v>0.16449717214505988</x:v>
      </x:c>
    </x:row>
    <x:row r="68">
      <x:c r="A68" s="49" t="str">
        <x:v>10:20-10:30</x:v>
      </x:c>
      <x:c r="B68" s="67" t="n">
        <x:v>620</x:v>
      </x:c>
      <x:c r="C68" s="73" t="n">
        <x:v>0.9588</x:v>
      </x:c>
      <x:c r="D68" s="68" t="n">
        <x:v>5886.7568</x:v>
      </x:c>
      <x:c r="E68" s="68" t="n">
        <x:v>6766.7204</x:v>
      </x:c>
      <x:c r="F68" s="68" t="n">
        <x:v>981.1261333333333</x:v>
      </x:c>
      <x:c r="G68" s="68" t="n">
        <x:v>1127.7867333333334</x:v>
      </x:c>
      <x:c r="H68" s="68" t="n">
        <x:v>-146.66060000000004</x:v>
      </x:c>
      <x:c r="I68" s="68" t="n">
        <x:v>0</x:v>
      </x:c>
      <x:c r="J68" s="68" t="n">
        <x:v>0</x:v>
      </x:c>
      <x:c r="K68" s="68" t="n">
        <x:v>146.66060000000004</x:v>
      </x:c>
      <x:c r="L68" s="68" t="n">
        <x:v>0</x:v>
      </x:c>
      <x:c r="M68" s="68" t="n">
        <x:v>0</x:v>
      </x:c>
      <x:c r="N68" s="68" t="n">
        <x:v>2079.2512907407186</x:v>
      </x:c>
      <x:c r="O68" s="68" t="n">
        <x:v>2211.2458307407187</x:v>
      </x:c>
      <x:c r="P68" s="68" t="n">
        <x:f>C68*J68</x:f>
        <x:v>0</x:v>
      </x:c>
      <x:c r="Q68" s="68" t="n">
        <x:f>C68*I68</x:f>
        <x:v>0</x:v>
      </x:c>
      <x:c r="R68" s="65" t="n">
        <x:f>J68+G68+L68-F68-K68-M68</x:f>
        <x:v>0</x:v>
      </x:c>
      <x:c r="S68" s="65" t="n">
        <x:f>O68-N68-0.9*K68+L68/0.9</x:f>
        <x:v>8.526512829121202e-14</x:v>
      </x:c>
      <x:c r="T68" s="67" t="n">
        <x:f>IF(AND(K68&gt;0.00001,L68&gt;0.00001),1,0)</x:f>
        <x:v>0</x:v>
      </x:c>
      <x:c r="U68" s="74" t="n">
        <x:f>N68/12000</x:f>
        <x:v>0.17327094089505987</x:v>
      </x:c>
    </x:row>
    <x:row r="69">
      <x:c r="A69" s="49" t="str">
        <x:v>10:30-10:40</x:v>
      </x:c>
      <x:c r="B69" s="67" t="n">
        <x:v>630</x:v>
      </x:c>
      <x:c r="C69" s="73" t="n">
        <x:v>0.9549</x:v>
      </x:c>
      <x:c r="D69" s="68" t="n">
        <x:v>5873.4708</x:v>
      </x:c>
      <x:c r="E69" s="68" t="n">
        <x:v>6914.5923</x:v>
      </x:c>
      <x:c r="F69" s="68" t="n">
        <x:v>978.9118</x:v>
      </x:c>
      <x:c r="G69" s="68" t="n">
        <x:v>1152.43205</x:v>
      </x:c>
      <x:c r="H69" s="68" t="n">
        <x:v>-173.52024999999992</x:v>
      </x:c>
      <x:c r="I69" s="68" t="n">
        <x:v>0</x:v>
      </x:c>
      <x:c r="J69" s="68" t="n">
        <x:v>0</x:v>
      </x:c>
      <x:c r="K69" s="68" t="n">
        <x:v>173.52024999999992</x:v>
      </x:c>
      <x:c r="L69" s="68" t="n">
        <x:v>0</x:v>
      </x:c>
      <x:c r="M69" s="68" t="n">
        <x:v>0</x:v>
      </x:c>
      <x:c r="N69" s="68" t="n">
        <x:v>2211.2458307407187</x:v>
      </x:c>
      <x:c r="O69" s="68" t="n">
        <x:v>2367.4140557407186</x:v>
      </x:c>
      <x:c r="P69" s="68" t="n">
        <x:f>C69*J69</x:f>
        <x:v>0</x:v>
      </x:c>
      <x:c r="Q69" s="68" t="n">
        <x:f>C69*I69</x:f>
        <x:v>0</x:v>
      </x:c>
      <x:c r="R69" s="65" t="n">
        <x:f>J69+G69+L69-F69-K69-M69</x:f>
        <x:v>0</x:v>
      </x:c>
      <x:c r="S69" s="65" t="n">
        <x:f>O69-N69-0.9*K69+L69/0.9</x:f>
        <x:v>-2.842170943040401e-14</x:v>
      </x:c>
      <x:c r="T69" s="67" t="n">
        <x:f>IF(AND(K69&gt;0.00001,L69&gt;0.00001),1,0)</x:f>
        <x:v>0</x:v>
      </x:c>
      <x:c r="U69" s="74" t="n">
        <x:f>N69/12000</x:f>
        <x:v>0.1842704858950599</x:v>
      </x:c>
    </x:row>
    <x:row r="70">
      <x:c r="A70" s="49" t="str">
        <x:v>10:40-10:50</x:v>
      </x:c>
      <x:c r="B70" s="67" t="n">
        <x:v>640</x:v>
      </x:c>
      <x:c r="C70" s="73" t="n">
        <x:v>0.9839</x:v>
      </x:c>
      <x:c r="D70" s="68" t="n">
        <x:v>5858.0308</x:v>
      </x:c>
      <x:c r="E70" s="68" t="n">
        <x:v>7064.2053</x:v>
      </x:c>
      <x:c r="F70" s="68" t="n">
        <x:v>976.3384666666667</x:v>
      </x:c>
      <x:c r="G70" s="68" t="n">
        <x:v>1177.36755</x:v>
      </x:c>
      <x:c r="H70" s="68" t="n">
        <x:v>-201.02908333333323</x:v>
      </x:c>
      <x:c r="I70" s="68" t="n">
        <x:v>0</x:v>
      </x:c>
      <x:c r="J70" s="68" t="n">
        <x:v>0</x:v>
      </x:c>
      <x:c r="K70" s="68" t="n">
        <x:v>201.02908333333323</x:v>
      </x:c>
      <x:c r="L70" s="68" t="n">
        <x:v>0</x:v>
      </x:c>
      <x:c r="M70" s="68" t="n">
        <x:v>0</x:v>
      </x:c>
      <x:c r="N70" s="68" t="n">
        <x:v>2367.4140557407186</x:v>
      </x:c>
      <x:c r="O70" s="68" t="n">
        <x:v>2548.3402307407187</x:v>
      </x:c>
      <x:c r="P70" s="68" t="n">
        <x:f>C70*J70</x:f>
        <x:v>0</x:v>
      </x:c>
      <x:c r="Q70" s="68" t="n">
        <x:f>C70*I70</x:f>
        <x:v>0</x:v>
      </x:c>
      <x:c r="R70" s="65" t="n">
        <x:f>J70+G70+L70-F70-K70-M70</x:f>
        <x:v>0</x:v>
      </x:c>
      <x:c r="S70" s="65" t="n">
        <x:f>O70-N70-0.9*K70+L70/0.9</x:f>
        <x:v>1.4210854715202004e-13</x:v>
      </x:c>
      <x:c r="T70" s="67" t="n">
        <x:f>IF(AND(K70&gt;0.00001,L70&gt;0.00001),1,0)</x:f>
        <x:v>0</x:v>
      </x:c>
      <x:c r="U70" s="74" t="n">
        <x:f>N70/12000</x:f>
        <x:v>0.1972845046450599</x:v>
      </x:c>
    </x:row>
    <x:row r="71">
      <x:c r="A71" s="49" t="str">
        <x:v>10:50-11:00</x:v>
      </x:c>
      <x:c r="B71" s="67" t="n">
        <x:v>650</x:v>
      </x:c>
      <x:c r="C71" s="73" t="n">
        <x:v>0.799</x:v>
      </x:c>
      <x:c r="D71" s="68" t="n">
        <x:v>5844.9948</x:v>
      </x:c>
      <x:c r="E71" s="68" t="n">
        <x:v>7197.4315</x:v>
      </x:c>
      <x:c r="F71" s="68" t="n">
        <x:v>974.1658</x:v>
      </x:c>
      <x:c r="G71" s="68" t="n">
        <x:v>1199.5719166666665</x:v>
      </x:c>
      <x:c r="H71" s="68" t="n">
        <x:v>-225.40611666666655</x:v>
      </x:c>
      <x:c r="I71" s="68" t="n">
        <x:v>0</x:v>
      </x:c>
      <x:c r="J71" s="68" t="n">
        <x:v>0</x:v>
      </x:c>
      <x:c r="K71" s="68" t="n">
        <x:v>225.40611666666655</x:v>
      </x:c>
      <x:c r="L71" s="68" t="n">
        <x:v>0</x:v>
      </x:c>
      <x:c r="M71" s="68" t="n">
        <x:v>0</x:v>
      </x:c>
      <x:c r="N71" s="68" t="n">
        <x:v>2548.3402307407187</x:v>
      </x:c>
      <x:c r="O71" s="68" t="n">
        <x:v>2751.2057357407184</x:v>
      </x:c>
      <x:c r="P71" s="68" t="n">
        <x:f>C71*J71</x:f>
        <x:v>0</x:v>
      </x:c>
      <x:c r="Q71" s="68" t="n">
        <x:f>C71*I71</x:f>
        <x:v>0</x:v>
      </x:c>
      <x:c r="R71" s="65" t="n">
        <x:f>J71+G71+L71-F71-K71-M71</x:f>
        <x:v>0</x:v>
      </x:c>
      <x:c r="S71" s="65" t="n">
        <x:f>O71-N71-0.9*K71+L71/0.9</x:f>
        <x:v>-1.4210854715202004e-13</x:v>
      </x:c>
      <x:c r="T71" s="67" t="n">
        <x:f>IF(AND(K71&gt;0.00001,L71&gt;0.00001),1,0)</x:f>
        <x:v>0</x:v>
      </x:c>
      <x:c r="U71" s="74" t="n">
        <x:f>N71/12000</x:f>
        <x:v>0.21236168589505988</x:v>
      </x:c>
    </x:row>
    <x:row r="72">
      <x:c r="A72" s="49" t="str">
        <x:v>11:00-11:10</x:v>
      </x:c>
      <x:c r="B72" s="67" t="n">
        <x:v>660</x:v>
      </x:c>
      <x:c r="C72" s="73" t="n">
        <x:v>0.5025</x:v>
      </x:c>
      <x:c r="D72" s="68" t="n">
        <x:v>5839.0587</x:v>
      </x:c>
      <x:c r="E72" s="68" t="n">
        <x:v>7303.1142</x:v>
      </x:c>
      <x:c r="F72" s="68" t="n">
        <x:v>973.1764499999999</x:v>
      </x:c>
      <x:c r="G72" s="68" t="n">
        <x:v>1217.1857</x:v>
      </x:c>
      <x:c r="H72" s="68" t="n">
        <x:v>-244.00925000000007</x:v>
      </x:c>
      <x:c r="I72" s="68" t="n">
        <x:v>0</x:v>
      </x:c>
      <x:c r="J72" s="68" t="n">
        <x:v>0</x:v>
      </x:c>
      <x:c r="K72" s="68" t="n">
        <x:v>244.00925000000007</x:v>
      </x:c>
      <x:c r="L72" s="68" t="n">
        <x:v>0</x:v>
      </x:c>
      <x:c r="M72" s="68" t="n">
        <x:v>0</x:v>
      </x:c>
      <x:c r="N72" s="68" t="n">
        <x:v>2751.2057357407184</x:v>
      </x:c>
      <x:c r="O72" s="68" t="n">
        <x:v>2970.8140607407186</x:v>
      </x:c>
      <x:c r="P72" s="68" t="n">
        <x:f>C72*J72</x:f>
        <x:v>0</x:v>
      </x:c>
      <x:c r="Q72" s="68" t="n">
        <x:f>C72*I72</x:f>
        <x:v>0</x:v>
      </x:c>
      <x:c r="R72" s="65" t="n">
        <x:f>J72+G72+L72-F72-K72-M72</x:f>
        <x:v>0</x:v>
      </x:c>
      <x:c r="S72" s="65" t="n">
        <x:f>O72-N72-0.9*K72+L72/0.9</x:f>
        <x:v>8.526512829121202e-14</x:v>
      </x:c>
      <x:c r="T72" s="67" t="n">
        <x:f>IF(AND(K72&gt;0.00001,L72&gt;0.00001),1,0)</x:f>
        <x:v>0</x:v>
      </x:c>
      <x:c r="U72" s="74" t="n">
        <x:f>N72/12000</x:f>
        <x:v>0.22926714464505987</x:v>
      </x:c>
    </x:row>
    <x:row r="73">
      <x:c r="A73" s="49" t="str">
        <x:v>11:10-11:20</x:v>
      </x:c>
      <x:c r="B73" s="67" t="n">
        <x:v>670</x:v>
      </x:c>
      <x:c r="C73" s="73" t="n">
        <x:v>0.4662</x:v>
      </x:c>
      <x:c r="D73" s="68" t="n">
        <x:v>5838.7103</x:v>
      </x:c>
      <x:c r="E73" s="68" t="n">
        <x:v>7387.6848</x:v>
      </x:c>
      <x:c r="F73" s="68" t="n">
        <x:v>973.1183833333332</x:v>
      </x:c>
      <x:c r="G73" s="68" t="n">
        <x:v>1231.2808</x:v>
      </x:c>
      <x:c r="H73" s="68" t="n">
        <x:v>-258.1624166666668</x:v>
      </x:c>
      <x:c r="I73" s="68" t="n">
        <x:v>0</x:v>
      </x:c>
      <x:c r="J73" s="68" t="n">
        <x:v>575.1709166666665</x:v>
      </x:c>
      <x:c r="K73" s="68" t="n">
        <x:v>833.3333333333333</x:v>
      </x:c>
      <x:c r="L73" s="68" t="n">
        <x:v>0</x:v>
      </x:c>
      <x:c r="M73" s="68" t="n">
        <x:v>0</x:v>
      </x:c>
      <x:c r="N73" s="68" t="n">
        <x:v>2970.8140607407186</x:v>
      </x:c>
      <x:c r="O73" s="68" t="n">
        <x:v>3720.8140607407186</x:v>
      </x:c>
      <x:c r="P73" s="68" t="n">
        <x:f>C73*J73</x:f>
        <x:v>268.1446813499999</x:v>
      </x:c>
      <x:c r="Q73" s="68" t="n">
        <x:f>C73*I73</x:f>
        <x:v>0</x:v>
      </x:c>
      <x:c r="R73" s="65" t="n">
        <x:f>J73+G73+L73-F73-K73-M73</x:f>
        <x:v>0</x:v>
      </x:c>
      <x:c r="S73" s="65" t="n">
        <x:f>O73-N73-0.9*K73+L73/0.9</x:f>
        <x:v>0</x:v>
      </x:c>
      <x:c r="T73" s="67" t="n">
        <x:f>IF(AND(K73&gt;0.00001,L73&gt;0.00001),1,0)</x:f>
        <x:v>0</x:v>
      </x:c>
      <x:c r="U73" s="74" t="n">
        <x:f>N73/12000</x:f>
        <x:v>0.24756783839505989</x:v>
      </x:c>
    </x:row>
    <x:row r="74">
      <x:c r="A74" s="49" t="str">
        <x:v>11:20-11:30</x:v>
      </x:c>
      <x:c r="B74" s="67" t="n">
        <x:v>680</x:v>
      </x:c>
      <x:c r="C74" s="73" t="n">
        <x:v>0.5007</x:v>
      </x:c>
      <x:c r="D74" s="68" t="n">
        <x:v>5823.4378</x:v>
      </x:c>
      <x:c r="E74" s="68" t="n">
        <x:v>7459.227</x:v>
      </x:c>
      <x:c r="F74" s="68" t="n">
        <x:v>970.5729666666666</x:v>
      </x:c>
      <x:c r="G74" s="68" t="n">
        <x:v>1243.2044999999998</x:v>
      </x:c>
      <x:c r="H74" s="68" t="n">
        <x:v>-272.6315333333332</x:v>
      </x:c>
      <x:c r="I74" s="68" t="n">
        <x:v>0</x:v>
      </x:c>
      <x:c r="J74" s="68" t="n">
        <x:v>0</x:v>
      </x:c>
      <x:c r="K74" s="68" t="n">
        <x:v>272.6315333333332</x:v>
      </x:c>
      <x:c r="L74" s="68" t="n">
        <x:v>0</x:v>
      </x:c>
      <x:c r="M74" s="68" t="n">
        <x:v>0</x:v>
      </x:c>
      <x:c r="N74" s="68" t="n">
        <x:v>3720.8140607407186</x:v>
      </x:c>
      <x:c r="O74" s="68" t="n">
        <x:v>3966.1824407407184</x:v>
      </x:c>
      <x:c r="P74" s="68" t="n">
        <x:f>C74*J74</x:f>
        <x:v>0</x:v>
      </x:c>
      <x:c r="Q74" s="68" t="n">
        <x:f>C74*I74</x:f>
        <x:v>0</x:v>
      </x:c>
      <x:c r="R74" s="65" t="n">
        <x:f>J74+G74+L74-F74-K74-M74</x:f>
        <x:v>0</x:v>
      </x:c>
      <x:c r="S74" s="65" t="n">
        <x:f>O74-N74-0.9*K74+L74/0.9</x:f>
        <x:v>0</x:v>
      </x:c>
      <x:c r="T74" s="67" t="n">
        <x:f>IF(AND(K74&gt;0.00001,L74&gt;0.00001),1,0)</x:f>
        <x:v>0</x:v>
      </x:c>
      <x:c r="U74" s="74" t="n">
        <x:f>N74/12000</x:f>
        <x:v>0.31006783839505986</x:v>
      </x:c>
    </x:row>
    <x:row r="75">
      <x:c r="A75" s="49" t="str">
        <x:v>11:30-11:40</x:v>
      </x:c>
      <x:c r="B75" s="67" t="n">
        <x:v>690</x:v>
      </x:c>
      <x:c r="C75" s="73" t="n">
        <x:v>0.4827</x:v>
      </x:c>
      <x:c r="D75" s="68" t="n">
        <x:v>5814.7932</x:v>
      </x:c>
      <x:c r="E75" s="68" t="n">
        <x:v>7520.7191</x:v>
      </x:c>
      <x:c r="F75" s="68" t="n">
        <x:v>969.1322</x:v>
      </x:c>
      <x:c r="G75" s="68" t="n">
        <x:v>1253.4531833333333</x:v>
      </x:c>
      <x:c r="H75" s="68" t="n">
        <x:v>-284.3209833333333</x:v>
      </x:c>
      <x:c r="I75" s="68" t="n">
        <x:v>0</x:v>
      </x:c>
      <x:c r="J75" s="68" t="n">
        <x:v>0</x:v>
      </x:c>
      <x:c r="K75" s="68" t="n">
        <x:v>284.3209833333333</x:v>
      </x:c>
      <x:c r="L75" s="68" t="n">
        <x:v>0</x:v>
      </x:c>
      <x:c r="M75" s="68" t="n">
        <x:v>0</x:v>
      </x:c>
      <x:c r="N75" s="68" t="n">
        <x:v>3966.1824407407184</x:v>
      </x:c>
      <x:c r="O75" s="68" t="n">
        <x:v>4222.071325740719</x:v>
      </x:c>
      <x:c r="P75" s="68" t="n">
        <x:f>C75*J75</x:f>
        <x:v>0</x:v>
      </x:c>
      <x:c r="Q75" s="68" t="n">
        <x:f>C75*I75</x:f>
        <x:v>0</x:v>
      </x:c>
      <x:c r="R75" s="65" t="n">
        <x:f>J75+G75+L75-F75-K75-M75</x:f>
        <x:v>0</x:v>
      </x:c>
      <x:c r="S75" s="65" t="n">
        <x:f>O75-N75-0.9*K75+L75/0.9</x:f>
        <x:v>3.410605131648481e-13</x:v>
      </x:c>
      <x:c r="T75" s="67" t="n">
        <x:f>IF(AND(K75&gt;0.00001,L75&gt;0.00001),1,0)</x:f>
        <x:v>0</x:v>
      </x:c>
      <x:c r="U75" s="74" t="n">
        <x:f>N75/12000</x:f>
        <x:v>0.33051520339505985</x:v>
      </x:c>
    </x:row>
    <x:row r="76">
      <x:c r="A76" s="49" t="str">
        <x:v>11:40-11:50</x:v>
      </x:c>
      <x:c r="B76" s="67" t="n">
        <x:v>700</x:v>
      </x:c>
      <x:c r="C76" s="73" t="n">
        <x:v>0.4785</x:v>
      </x:c>
      <x:c r="D76" s="68" t="n">
        <x:v>5832.3951</x:v>
      </x:c>
      <x:c r="E76" s="68" t="n">
        <x:v>7568.2039</x:v>
      </x:c>
      <x:c r="F76" s="68" t="n">
        <x:v>972.06585</x:v>
      </x:c>
      <x:c r="G76" s="68" t="n">
        <x:v>1261.3673166666667</x:v>
      </x:c>
      <x:c r="H76" s="68" t="n">
        <x:v>-289.3014666666668</x:v>
      </x:c>
      <x:c r="I76" s="68" t="n">
        <x:v>0</x:v>
      </x:c>
      <x:c r="J76" s="68" t="n">
        <x:v>179.27717139920574</x:v>
      </x:c>
      <x:c r="K76" s="68" t="n">
        <x:v>468.5786380658725</x:v>
      </x:c>
      <x:c r="L76" s="68" t="n">
        <x:v>0</x:v>
      </x:c>
      <x:c r="M76" s="68" t="n">
        <x:v>0</x:v>
      </x:c>
      <x:c r="N76" s="68" t="n">
        <x:v>4222.071325740719</x:v>
      </x:c>
      <x:c r="O76" s="68" t="n">
        <x:v>4643.792100000004</x:v>
      </x:c>
      <x:c r="P76" s="68" t="n">
        <x:f>C76*J76</x:f>
        <x:v>85.78412651451994</x:v>
      </x:c>
      <x:c r="Q76" s="68" t="n">
        <x:f>C76*I76</x:f>
        <x:v>0</x:v>
      </x:c>
      <x:c r="R76" s="65" t="n">
        <x:f>J76+G76+L76-F76-K76-M76</x:f>
        <x:v>1.1368683772161603e-13</x:v>
      </x:c>
      <x:c r="S76" s="65" t="n">
        <x:f>O76-N76-0.9*K76+L76/0.9</x:f>
        <x:v>2.2737367544323206e-13</x:v>
      </x:c>
      <x:c r="T76" s="67" t="n">
        <x:f>IF(AND(K76&gt;0.00001,L76&gt;0.00001),1,0)</x:f>
        <x:v>0</x:v>
      </x:c>
      <x:c r="U76" s="74" t="n">
        <x:f>N76/12000</x:f>
        <x:v>0.3518392771450599</x:v>
      </x:c>
    </x:row>
    <x:row r="77">
      <x:c r="A77" s="49" t="str">
        <x:v>11:50-12:00</x:v>
      </x:c>
      <x:c r="B77" s="67" t="n">
        <x:v>710</x:v>
      </x:c>
      <x:c r="C77" s="73" t="n">
        <x:v>0.4662</x:v>
      </x:c>
      <x:c r="D77" s="68" t="n">
        <x:v>5712.901</x:v>
      </x:c>
      <x:c r="E77" s="68" t="n">
        <x:v>7592.1539</x:v>
      </x:c>
      <x:c r="F77" s="68" t="n">
        <x:v>952.1501666666666</x:v>
      </x:c>
      <x:c r="G77" s="68" t="n">
        <x:v>1265.3589833333333</x:v>
      </x:c>
      <x:c r="H77" s="68" t="n">
        <x:v>-313.20881666666673</x:v>
      </x:c>
      <x:c r="I77" s="68" t="n">
        <x:v>0</x:v>
      </x:c>
      <x:c r="J77" s="68" t="n">
        <x:v>520.1245166666665</x:v>
      </x:c>
      <x:c r="K77" s="68" t="n">
        <x:v>833.3333333333333</x:v>
      </x:c>
      <x:c r="L77" s="68" t="n">
        <x:v>0</x:v>
      </x:c>
      <x:c r="M77" s="68" t="n">
        <x:v>0</x:v>
      </x:c>
      <x:c r="N77" s="68" t="n">
        <x:v>4643.792100000004</x:v>
      </x:c>
      <x:c r="O77" s="68" t="n">
        <x:v>5393.792100000004</x:v>
      </x:c>
      <x:c r="P77" s="68" t="n">
        <x:f>C77*J77</x:f>
        <x:v>242.48204966999992</x:v>
      </x:c>
      <x:c r="Q77" s="68" t="n">
        <x:f>C77*I77</x:f>
        <x:v>0</x:v>
      </x:c>
      <x:c r="R77" s="65" t="n">
        <x:f>J77+G77+L77-F77-K77-M77</x:f>
        <x:v>0</x:v>
      </x:c>
      <x:c r="S77" s="65" t="n">
        <x:f>O77-N77-0.9*K77+L77/0.9</x:f>
        <x:v>0</x:v>
      </x:c>
      <x:c r="T77" s="67" t="n">
        <x:f>IF(AND(K77&gt;0.00001,L77&gt;0.00001),1,0)</x:f>
        <x:v>0</x:v>
      </x:c>
      <x:c r="U77" s="74" t="n">
        <x:f>N77/12000</x:f>
        <x:v>0.38698267500000033</x:v>
      </x:c>
    </x:row>
    <x:row r="78">
      <x:c r="A78" s="49" t="str">
        <x:v>12:00-12:10</x:v>
      </x:c>
      <x:c r="B78" s="67" t="n">
        <x:v>720</x:v>
      </x:c>
      <x:c r="C78" s="73" t="n">
        <x:v>0.4432</x:v>
      </x:c>
      <x:c r="D78" s="68" t="n">
        <x:v>5519.4607</x:v>
      </x:c>
      <x:c r="E78" s="68" t="n">
        <x:v>7601.0433</x:v>
      </x:c>
      <x:c r="F78" s="68" t="n">
        <x:v>919.9101166666666</x:v>
      </x:c>
      <x:c r="G78" s="68" t="n">
        <x:v>1266.84055</x:v>
      </x:c>
      <x:c r="H78" s="68" t="n">
        <x:v>-346.9304333333333</x:v>
      </x:c>
      <x:c r="I78" s="68" t="n">
        <x:v>0</x:v>
      </x:c>
      <x:c r="J78" s="68" t="n">
        <x:v>486.40289999999993</x:v>
      </x:c>
      <x:c r="K78" s="68" t="n">
        <x:v>833.3333333333333</x:v>
      </x:c>
      <x:c r="L78" s="68" t="n">
        <x:v>0</x:v>
      </x:c>
      <x:c r="M78" s="68" t="n">
        <x:v>0</x:v>
      </x:c>
      <x:c r="N78" s="68" t="n">
        <x:v>5393.792100000004</x:v>
      </x:c>
      <x:c r="O78" s="68" t="n">
        <x:v>6143.792100000004</x:v>
      </x:c>
      <x:c r="P78" s="68" t="n">
        <x:f>C78*J78</x:f>
        <x:v>215.57376527999998</x:v>
      </x:c>
      <x:c r="Q78" s="68" t="n">
        <x:f>C78*I78</x:f>
        <x:v>0</x:v>
      </x:c>
      <x:c r="R78" s="65" t="n">
        <x:f>J78+G78+L78-F78-K78-M78</x:f>
        <x:v>1.1368683772161603e-13</x:v>
      </x:c>
      <x:c r="S78" s="65" t="n">
        <x:f>O78-N78-0.9*K78+L78/0.9</x:f>
        <x:v>0</x:v>
      </x:c>
      <x:c r="T78" s="67" t="n">
        <x:f>IF(AND(K78&gt;0.00001,L78&gt;0.00001),1,0)</x:f>
        <x:v>0</x:v>
      </x:c>
      <x:c r="U78" s="74" t="n">
        <x:f>N78/12000</x:f>
        <x:v>0.44948267500000033</x:v>
      </x:c>
    </x:row>
    <x:row r="79">
      <x:c r="A79" s="49" t="str">
        <x:v>12:10-12:20</x:v>
      </x:c>
      <x:c r="B79" s="67" t="n">
        <x:v>730</x:v>
      </x:c>
      <x:c r="C79" s="73" t="n">
        <x:v>0.4411</x:v>
      </x:c>
      <x:c r="D79" s="68" t="n">
        <x:v>5494.7907</x:v>
      </x:c>
      <x:c r="E79" s="68" t="n">
        <x:v>7612.316</x:v>
      </x:c>
      <x:c r="F79" s="68" t="n">
        <x:v>915.7984499999999</x:v>
      </x:c>
      <x:c r="G79" s="68" t="n">
        <x:v>1268.7193333333332</x:v>
      </x:c>
      <x:c r="H79" s="68" t="n">
        <x:v>-352.92088333333334</x:v>
      </x:c>
      <x:c r="I79" s="68" t="n">
        <x:v>0</x:v>
      </x:c>
      <x:c r="J79" s="68" t="n">
        <x:v>480.4124499999999</x:v>
      </x:c>
      <x:c r="K79" s="68" t="n">
        <x:v>833.3333333333333</x:v>
      </x:c>
      <x:c r="L79" s="68" t="n">
        <x:v>0</x:v>
      </x:c>
      <x:c r="M79" s="68" t="n">
        <x:v>0</x:v>
      </x:c>
      <x:c r="N79" s="68" t="n">
        <x:v>6143.792100000004</x:v>
      </x:c>
      <x:c r="O79" s="68" t="n">
        <x:v>6893.792100000004</x:v>
      </x:c>
      <x:c r="P79" s="68" t="n">
        <x:f>C79*J79</x:f>
        <x:v>211.90993169499995</x:v>
      </x:c>
      <x:c r="Q79" s="68" t="n">
        <x:f>C79*I79</x:f>
        <x:v>0</x:v>
      </x:c>
      <x:c r="R79" s="65" t="n">
        <x:f>J79+G79+L79-F79-K79-M79</x:f>
        <x:v>1.1368683772161603e-13</x:v>
      </x:c>
      <x:c r="S79" s="65" t="n">
        <x:f>O79-N79-0.9*K79+L79/0.9</x:f>
        <x:v>0</x:v>
      </x:c>
      <x:c r="T79" s="67" t="n">
        <x:f>IF(AND(K79&gt;0.00001,L79&gt;0.00001),1,0)</x:f>
        <x:v>0</x:v>
      </x:c>
      <x:c r="U79" s="74" t="n">
        <x:f>N79/12000</x:f>
        <x:v>0.5119826750000004</x:v>
      </x:c>
    </x:row>
    <x:row r="80">
      <x:c r="A80" s="49" t="str">
        <x:v>12:20-12:30</x:v>
      </x:c>
      <x:c r="B80" s="67" t="n">
        <x:v>740</x:v>
      </x:c>
      <x:c r="C80" s="73" t="n">
        <x:v>0.4551</x:v>
      </x:c>
      <x:c r="D80" s="68" t="n">
        <x:v>5514.4524</x:v>
      </x:c>
      <x:c r="E80" s="68" t="n">
        <x:v>7602.6524</x:v>
      </x:c>
      <x:c r="F80" s="68" t="n">
        <x:v>919.0754</x:v>
      </x:c>
      <x:c r="G80" s="68" t="n">
        <x:v>1267.1087333333332</x:v>
      </x:c>
      <x:c r="H80" s="68" t="n">
        <x:v>-348.0333333333333</x:v>
      </x:c>
      <x:c r="I80" s="68" t="n">
        <x:v>0</x:v>
      </x:c>
      <x:c r="J80" s="68" t="n">
        <x:v>485.29999999999995</x:v>
      </x:c>
      <x:c r="K80" s="68" t="n">
        <x:v>833.3333333333333</x:v>
      </x:c>
      <x:c r="L80" s="68" t="n">
        <x:v>0</x:v>
      </x:c>
      <x:c r="M80" s="68" t="n">
        <x:v>0</x:v>
      </x:c>
      <x:c r="N80" s="68" t="n">
        <x:v>6893.792100000004</x:v>
      </x:c>
      <x:c r="O80" s="68" t="n">
        <x:v>7643.792100000004</x:v>
      </x:c>
      <x:c r="P80" s="68" t="n">
        <x:f>C80*J80</x:f>
        <x:v>220.86003</x:v>
      </x:c>
      <x:c r="Q80" s="68" t="n">
        <x:f>C80*I80</x:f>
        <x:v>0</x:v>
      </x:c>
      <x:c r="R80" s="65" t="n">
        <x:f>J80+G80+L80-F80-K80-M80</x:f>
        <x:v>0</x:v>
      </x:c>
      <x:c r="S80" s="65" t="n">
        <x:f>O80-N80-0.9*K80+L80/0.9</x:f>
        <x:v>0</x:v>
      </x:c>
      <x:c r="T80" s="67" t="n">
        <x:f>IF(AND(K80&gt;0.00001,L80&gt;0.00001),1,0)</x:f>
        <x:v>0</x:v>
      </x:c>
      <x:c r="U80" s="74" t="n">
        <x:f>N80/12000</x:f>
        <x:v>0.5744826750000004</x:v>
      </x:c>
    </x:row>
    <x:row r="81">
      <x:c r="A81" s="49" t="str">
        <x:v>12:30-12:40</x:v>
      </x:c>
      <x:c r="B81" s="67" t="n">
        <x:v>750</x:v>
      </x:c>
      <x:c r="C81" s="73" t="n">
        <x:v>0.4463</x:v>
      </x:c>
      <x:c r="D81" s="68" t="n">
        <x:v>5485.829</x:v>
      </x:c>
      <x:c r="E81" s="68" t="n">
        <x:v>7554.1872</x:v>
      </x:c>
      <x:c r="F81" s="68" t="n">
        <x:v>914.3048333333332</x:v>
      </x:c>
      <x:c r="G81" s="68" t="n">
        <x:v>1259.0312</x:v>
      </x:c>
      <x:c r="H81" s="68" t="n">
        <x:v>-344.72636666666665</x:v>
      </x:c>
      <x:c r="I81" s="68" t="n">
        <x:v>0</x:v>
      </x:c>
      <x:c r="J81" s="68" t="n">
        <x:v>488.6069666666666</x:v>
      </x:c>
      <x:c r="K81" s="68" t="n">
        <x:v>833.3333333333333</x:v>
      </x:c>
      <x:c r="L81" s="68" t="n">
        <x:v>0</x:v>
      </x:c>
      <x:c r="M81" s="68" t="n">
        <x:v>0</x:v>
      </x:c>
      <x:c r="N81" s="68" t="n">
        <x:v>7643.792100000004</x:v>
      </x:c>
      <x:c r="O81" s="68" t="n">
        <x:v>8393.792100000004</x:v>
      </x:c>
      <x:c r="P81" s="68" t="n">
        <x:f>C81*J81</x:f>
        <x:v>218.06528922333328</x:v>
      </x:c>
      <x:c r="Q81" s="68" t="n">
        <x:f>C81*I81</x:f>
        <x:v>0</x:v>
      </x:c>
      <x:c r="R81" s="65" t="n">
        <x:f>J81+G81+L81-F81-K81-M81</x:f>
        <x:v>1.1368683772161603e-13</x:v>
      </x:c>
      <x:c r="S81" s="65" t="n">
        <x:f>O81-N81-0.9*K81+L81/0.9</x:f>
        <x:v>0</x:v>
      </x:c>
      <x:c r="T81" s="67" t="n">
        <x:f>IF(AND(K81&gt;0.00001,L81&gt;0.00001),1,0)</x:f>
        <x:v>0</x:v>
      </x:c>
      <x:c r="U81" s="74" t="n">
        <x:f>N81/12000</x:f>
        <x:v>0.6369826750000004</x:v>
      </x:c>
    </x:row>
    <x:row r="82">
      <x:c r="A82" s="49" t="str">
        <x:v>12:40-12:50</x:v>
      </x:c>
      <x:c r="B82" s="67" t="n">
        <x:v>760</x:v>
      </x:c>
      <x:c r="C82" s="73" t="n">
        <x:v>0.4113</x:v>
      </x:c>
      <x:c r="D82" s="68" t="n">
        <x:v>5462.3628</x:v>
      </x:c>
      <x:c r="E82" s="68" t="n">
        <x:v>7472.7384</x:v>
      </x:c>
      <x:c r="F82" s="68" t="n">
        <x:v>910.3937999999999</x:v>
      </x:c>
      <x:c r="G82" s="68" t="n">
        <x:v>1245.4564</x:v>
      </x:c>
      <x:c r="H82" s="68" t="n">
        <x:v>-335.0626000000001</x:v>
      </x:c>
      <x:c r="I82" s="68" t="n">
        <x:v>0</x:v>
      </x:c>
      <x:c r="J82" s="68" t="n">
        <x:v>498.27073333333317</x:v>
      </x:c>
      <x:c r="K82" s="68" t="n">
        <x:v>833.3333333333333</x:v>
      </x:c>
      <x:c r="L82" s="68" t="n">
        <x:v>0</x:v>
      </x:c>
      <x:c r="M82" s="68" t="n">
        <x:v>0</x:v>
      </x:c>
      <x:c r="N82" s="68" t="n">
        <x:v>8393.792100000004</x:v>
      </x:c>
      <x:c r="O82" s="68" t="n">
        <x:v>9143.792100000004</x:v>
      </x:c>
      <x:c r="P82" s="68" t="n">
        <x:f>C82*J82</x:f>
        <x:v>204.93875261999995</x:v>
      </x:c>
      <x:c r="Q82" s="68" t="n">
        <x:f>C82*I82</x:f>
        <x:v>0</x:v>
      </x:c>
      <x:c r="R82" s="65" t="n">
        <x:f>J82+G82+L82-F82-K82-M82</x:f>
        <x:v>1.1368683772161603e-13</x:v>
      </x:c>
      <x:c r="S82" s="65" t="n">
        <x:f>O82-N82-0.9*K82+L82/0.9</x:f>
        <x:v>0</x:v>
      </x:c>
      <x:c r="T82" s="67" t="n">
        <x:f>IF(AND(K82&gt;0.00001,L82&gt;0.00001),1,0)</x:f>
        <x:v>0</x:v>
      </x:c>
      <x:c r="U82" s="74" t="n">
        <x:f>N82/12000</x:f>
        <x:v>0.6994826750000004</x:v>
      </x:c>
    </x:row>
    <x:row r="83">
      <x:c r="A83" s="49" t="str">
        <x:v>12:50-13:00</x:v>
      </x:c>
      <x:c r="B83" s="67" t="n">
        <x:v>770</x:v>
      </x:c>
      <x:c r="C83" s="73" t="n">
        <x:v>0.5682</x:v>
      </x:c>
      <x:c r="D83" s="68" t="n">
        <x:v>5566.1066</x:v>
      </x:c>
      <x:c r="E83" s="68" t="n">
        <x:v>7393.4172</x:v>
      </x:c>
      <x:c r="F83" s="68" t="n">
        <x:v>927.6844333333333</x:v>
      </x:c>
      <x:c r="G83" s="68" t="n">
        <x:v>1232.2361999999998</x:v>
      </x:c>
      <x:c r="H83" s="68" t="n">
        <x:v>-304.5517666666665</x:v>
      </x:c>
      <x:c r="I83" s="68" t="n">
        <x:v>0</x:v>
      </x:c>
      <x:c r="J83" s="68" t="n">
        <x:v>0</x:v>
      </x:c>
      <x:c r="K83" s="68" t="n">
        <x:v>304.5517666666665</x:v>
      </x:c>
      <x:c r="L83" s="68" t="n">
        <x:v>0</x:v>
      </x:c>
      <x:c r="M83" s="68" t="n">
        <x:v>0</x:v>
      </x:c>
      <x:c r="N83" s="68" t="n">
        <x:v>9143.792100000004</x:v>
      </x:c>
      <x:c r="O83" s="68" t="n">
        <x:v>9417.888690000003</x:v>
      </x:c>
      <x:c r="P83" s="68" t="n">
        <x:f>C83*J83</x:f>
        <x:v>0</x:v>
      </x:c>
      <x:c r="Q83" s="68" t="n">
        <x:f>C83*I83</x:f>
        <x:v>0</x:v>
      </x:c>
      <x:c r="R83" s="65" t="n">
        <x:f>J83+G83+L83-F83-K83-M83</x:f>
        <x:v>0</x:v>
      </x:c>
      <x:c r="S83" s="65" t="n">
        <x:f>O83-N83-0.9*K83+L83/0.9</x:f>
        <x:v>-6.252776074688882e-13</x:v>
      </x:c>
      <x:c r="T83" s="67" t="n">
        <x:f>IF(AND(K83&gt;0.00001,L83&gt;0.00001),1,0)</x:f>
        <x:v>0</x:v>
      </x:c>
      <x:c r="U83" s="74" t="n">
        <x:f>N83/12000</x:f>
        <x:v>0.7619826750000004</x:v>
      </x:c>
    </x:row>
    <x:row r="84">
      <x:c r="A84" s="49" t="str">
        <x:v>13:00-13:10</x:v>
      </x:c>
      <x:c r="B84" s="67" t="n">
        <x:v>780</x:v>
      </x:c>
      <x:c r="C84" s="73" t="n">
        <x:v>0.8279</x:v>
      </x:c>
      <x:c r="D84" s="68" t="n">
        <x:v>5725.7548</x:v>
      </x:c>
      <x:c r="E84" s="68" t="n">
        <x:v>7312.7979</x:v>
      </x:c>
      <x:c r="F84" s="68" t="n">
        <x:v>954.2924666666665</x:v>
      </x:c>
      <x:c r="G84" s="68" t="n">
        <x:v>1218.79965</x:v>
      </x:c>
      <x:c r="H84" s="68" t="n">
        <x:v>-264.5071833333334</x:v>
      </x:c>
      <x:c r="I84" s="68" t="n">
        <x:v>0</x:v>
      </x:c>
      <x:c r="J84" s="68" t="n">
        <x:v>0</x:v>
      </x:c>
      <x:c r="K84" s="68" t="n">
        <x:v>264.5071833333334</x:v>
      </x:c>
      <x:c r="L84" s="68" t="n">
        <x:v>0</x:v>
      </x:c>
      <x:c r="M84" s="68" t="n">
        <x:v>0</x:v>
      </x:c>
      <x:c r="N84" s="68" t="n">
        <x:v>9417.888690000003</x:v>
      </x:c>
      <x:c r="O84" s="68" t="n">
        <x:v>9655.945155000003</x:v>
      </x:c>
      <x:c r="P84" s="68" t="n">
        <x:f>C84*J84</x:f>
        <x:v>0</x:v>
      </x:c>
      <x:c r="Q84" s="68" t="n">
        <x:f>C84*I84</x:f>
        <x:v>0</x:v>
      </x:c>
      <x:c r="R84" s="65" t="n">
        <x:f>J84+G84+L84-F84-K84-M84</x:f>
        <x:v>0</x:v>
      </x:c>
      <x:c r="S84" s="65" t="n">
        <x:f>O84-N84-0.9*K84+L84/0.9</x:f>
        <x:v>-3.979039320256561e-13</x:v>
      </x:c>
      <x:c r="T84" s="67" t="n">
        <x:f>IF(AND(K84&gt;0.00001,L84&gt;0.00001),1,0)</x:f>
        <x:v>0</x:v>
      </x:c>
      <x:c r="U84" s="74" t="n">
        <x:f>N84/12000</x:f>
        <x:v>0.7848240575000003</x:v>
      </x:c>
    </x:row>
    <x:row r="85">
      <x:c r="A85" s="49" t="str">
        <x:v>13:10-13:20</x:v>
      </x:c>
      <x:c r="B85" s="67" t="n">
        <x:v>790</x:v>
      </x:c>
      <x:c r="C85" s="73" t="n">
        <x:v>0.8636</x:v>
      </x:c>
      <x:c r="D85" s="68" t="n">
        <x:v>5739.4957</x:v>
      </x:c>
      <x:c r="E85" s="68" t="n">
        <x:v>7194.541</x:v>
      </x:c>
      <x:c r="F85" s="68" t="n">
        <x:v>956.5826166666667</x:v>
      </x:c>
      <x:c r="G85" s="68" t="n">
        <x:v>1199.0901666666666</x:v>
      </x:c>
      <x:c r="H85" s="68" t="n">
        <x:v>-242.50754999999992</x:v>
      </x:c>
      <x:c r="I85" s="68" t="n">
        <x:v>0</x:v>
      </x:c>
      <x:c r="J85" s="68" t="n">
        <x:v>0</x:v>
      </x:c>
      <x:c r="K85" s="68" t="n">
        <x:v>242.50754999999992</x:v>
      </x:c>
      <x:c r="L85" s="68" t="n">
        <x:v>0</x:v>
      </x:c>
      <x:c r="M85" s="68" t="n">
        <x:v>0</x:v>
      </x:c>
      <x:c r="N85" s="68" t="n">
        <x:v>9655.945155000003</x:v>
      </x:c>
      <x:c r="O85" s="68" t="n">
        <x:v>9874.201950000002</x:v>
      </x:c>
      <x:c r="P85" s="68" t="n">
        <x:f>C85*J85</x:f>
        <x:v>0</x:v>
      </x:c>
      <x:c r="Q85" s="68" t="n">
        <x:f>C85*I85</x:f>
        <x:v>0</x:v>
      </x:c>
      <x:c r="R85" s="65" t="n">
        <x:f>J85+G85+L85-F85-K85-M85</x:f>
        <x:v>0</x:v>
      </x:c>
      <x:c r="S85" s="65" t="n">
        <x:f>O85-N85-0.9*K85+L85/0.9</x:f>
        <x:v>-5.968558980384842e-13</x:v>
      </x:c>
      <x:c r="T85" s="67" t="n">
        <x:f>IF(AND(K85&gt;0.00001,L85&gt;0.00001),1,0)</x:f>
        <x:v>0</x:v>
      </x:c>
      <x:c r="U85" s="74" t="n">
        <x:f>N85/12000</x:f>
        <x:v>0.8046620962500003</x:v>
      </x:c>
    </x:row>
    <x:row r="86">
      <x:c r="A86" s="49" t="str">
        <x:v>13:20-13:30</x:v>
      </x:c>
      <x:c r="B86" s="67" t="n">
        <x:v>800</x:v>
      </x:c>
      <x:c r="C86" s="73" t="n">
        <x:v>0.8416</x:v>
      </x:c>
      <x:c r="D86" s="68" t="n">
        <x:v>5714.6836</x:v>
      </x:c>
      <x:c r="E86" s="68" t="n">
        <x:v>7053.1371</x:v>
      </x:c>
      <x:c r="F86" s="68" t="n">
        <x:v>952.4472666666667</x:v>
      </x:c>
      <x:c r="G86" s="68" t="n">
        <x:v>1175.5228499999998</x:v>
      </x:c>
      <x:c r="H86" s="68" t="n">
        <x:v>-223.07558333333316</x:v>
      </x:c>
      <x:c r="I86" s="68" t="n">
        <x:v>0</x:v>
      </x:c>
      <x:c r="J86" s="68" t="n">
        <x:v>0</x:v>
      </x:c>
      <x:c r="K86" s="68" t="n">
        <x:v>223.07558333333316</x:v>
      </x:c>
      <x:c r="L86" s="68" t="n">
        <x:v>0</x:v>
      </x:c>
      <x:c r="M86" s="68" t="n">
        <x:v>0</x:v>
      </x:c>
      <x:c r="N86" s="68" t="n">
        <x:v>9874.201950000002</x:v>
      </x:c>
      <x:c r="O86" s="68" t="n">
        <x:v>10074.969975000002</x:v>
      </x:c>
      <x:c r="P86" s="68" t="n">
        <x:f>C86*J86</x:f>
        <x:v>0</x:v>
      </x:c>
      <x:c r="Q86" s="68" t="n">
        <x:f>C86*I86</x:f>
        <x:v>0</x:v>
      </x:c>
      <x:c r="R86" s="65" t="n">
        <x:f>J86+G86+L86-F86-K86-M86</x:f>
        <x:v>0</x:v>
      </x:c>
      <x:c r="S86" s="65" t="n">
        <x:f>O86-N86-0.9*K86+L86/0.9</x:f>
        <x:v>-4.547473508864641e-13</x:v>
      </x:c>
      <x:c r="T86" s="67" t="n">
        <x:f>IF(AND(K86&gt;0.00001,L86&gt;0.00001),1,0)</x:f>
        <x:v>0</x:v>
      </x:c>
      <x:c r="U86" s="74" t="n">
        <x:f>N86/12000</x:f>
        <x:v>0.8228501625000002</x:v>
      </x:c>
    </x:row>
    <x:row r="87">
      <x:c r="A87" s="49" t="str">
        <x:v>13:30-13:40</x:v>
      </x:c>
      <x:c r="B87" s="67" t="n">
        <x:v>810</x:v>
      </x:c>
      <x:c r="C87" s="73" t="n">
        <x:v>0.8618</x:v>
      </x:c>
      <x:c r="D87" s="68" t="n">
        <x:v>5717.8505</x:v>
      </x:c>
      <x:c r="E87" s="68" t="n">
        <x:v>6910.4064</x:v>
      </x:c>
      <x:c r="F87" s="68" t="n">
        <x:v>952.9750833333333</x:v>
      </x:c>
      <x:c r="G87" s="68" t="n">
        <x:v>1151.7343999999998</x:v>
      </x:c>
      <x:c r="H87" s="68" t="n">
        <x:v>-198.75931666666656</x:v>
      </x:c>
      <x:c r="I87" s="68" t="n">
        <x:v>0</x:v>
      </x:c>
      <x:c r="J87" s="68" t="n">
        <x:v>0</x:v>
      </x:c>
      <x:c r="K87" s="68" t="n">
        <x:v>198.75931666666656</x:v>
      </x:c>
      <x:c r="L87" s="68" t="n">
        <x:v>0</x:v>
      </x:c>
      <x:c r="M87" s="68" t="n">
        <x:v>0</x:v>
      </x:c>
      <x:c r="N87" s="68" t="n">
        <x:v>10074.969975000002</x:v>
      </x:c>
      <x:c r="O87" s="68" t="n">
        <x:v>10253.853360000001</x:v>
      </x:c>
      <x:c r="P87" s="68" t="n">
        <x:f>C87*J87</x:f>
        <x:v>0</x:v>
      </x:c>
      <x:c r="Q87" s="68" t="n">
        <x:f>C87*I87</x:f>
        <x:v>0</x:v>
      </x:c>
      <x:c r="R87" s="65" t="n">
        <x:f>J87+G87+L87-F87-K87-M87</x:f>
        <x:v>0</x:v>
      </x:c>
      <x:c r="S87" s="65" t="n">
        <x:f>O87-N87-0.9*K87+L87/0.9</x:f>
        <x:v>-7.389644451905042e-13</x:v>
      </x:c>
      <x:c r="T87" s="67" t="n">
        <x:f>IF(AND(K87&gt;0.00001,L87&gt;0.00001),1,0)</x:f>
        <x:v>0</x:v>
      </x:c>
      <x:c r="U87" s="74" t="n">
        <x:f>N87/12000</x:f>
        <x:v>0.8395808312500002</x:v>
      </x:c>
    </x:row>
    <x:row r="88">
      <x:c r="A88" s="49" t="str">
        <x:v>13:40-13:50</x:v>
      </x:c>
      <x:c r="B88" s="67" t="n">
        <x:v>820</x:v>
      </x:c>
      <x:c r="C88" s="73" t="n">
        <x:v>0.8623</x:v>
      </x:c>
      <x:c r="D88" s="68" t="n">
        <x:v>5708.2486</x:v>
      </x:c>
      <x:c r="E88" s="68" t="n">
        <x:v>6772.4075</x:v>
      </x:c>
      <x:c r="F88" s="68" t="n">
        <x:v>951.3747666666666</x:v>
      </x:c>
      <x:c r="G88" s="68" t="n">
        <x:v>1128.7345833333334</x:v>
      </x:c>
      <x:c r="H88" s="68" t="n">
        <x:v>-177.3598166666668</x:v>
      </x:c>
      <x:c r="I88" s="68" t="n">
        <x:v>0</x:v>
      </x:c>
      <x:c r="J88" s="68" t="n">
        <x:v>0</x:v>
      </x:c>
      <x:c r="K88" s="68" t="n">
        <x:v>177.3598166666668</x:v>
      </x:c>
      <x:c r="L88" s="68" t="n">
        <x:v>0</x:v>
      </x:c>
      <x:c r="M88" s="68" t="n">
        <x:v>0</x:v>
      </x:c>
      <x:c r="N88" s="68" t="n">
        <x:v>10253.853360000001</x:v>
      </x:c>
      <x:c r="O88" s="68" t="n">
        <x:v>10413.477195000001</x:v>
      </x:c>
      <x:c r="P88" s="68" t="n">
        <x:f>C88*J88</x:f>
        <x:v>0</x:v>
      </x:c>
      <x:c r="Q88" s="68" t="n">
        <x:f>C88*I88</x:f>
        <x:v>0</x:v>
      </x:c>
      <x:c r="R88" s="65" t="n">
        <x:f>J88+G88+L88-F88-K88-M88</x:f>
        <x:v>0</x:v>
      </x:c>
      <x:c r="S88" s="65" t="n">
        <x:f>O88-N88-0.9*K88+L88/0.9</x:f>
        <x:v>1.9895196601282805e-13</x:v>
      </x:c>
      <x:c r="T88" s="67" t="n">
        <x:f>IF(AND(K88&gt;0.00001,L88&gt;0.00001),1,0)</x:f>
        <x:v>0</x:v>
      </x:c>
      <x:c r="U88" s="74" t="n">
        <x:f>N88/12000</x:f>
        <x:v>0.85448778</x:v>
      </x:c>
    </x:row>
    <x:row r="89">
      <x:c r="A89" s="49" t="str">
        <x:v>13:50-14:00</x:v>
      </x:c>
      <x:c r="B89" s="67" t="n">
        <x:v>830</x:v>
      </x:c>
      <x:c r="C89" s="73" t="n">
        <x:v>0.9026</x:v>
      </x:c>
      <x:c r="D89" s="68" t="n">
        <x:v>5696.9182</x:v>
      </x:c>
      <x:c r="E89" s="68" t="n">
        <x:v>6607.36</x:v>
      </x:c>
      <x:c r="F89" s="68" t="n">
        <x:v>949.4863666666666</x:v>
      </x:c>
      <x:c r="G89" s="68" t="n">
        <x:v>1101.2266666666665</x:v>
      </x:c>
      <x:c r="H89" s="68" t="n">
        <x:v>-151.74029999999982</x:v>
      </x:c>
      <x:c r="I89" s="68" t="n">
        <x:v>0</x:v>
      </x:c>
      <x:c r="J89" s="68" t="n">
        <x:v>0</x:v>
      </x:c>
      <x:c r="K89" s="68" t="n">
        <x:v>151.74029999999982</x:v>
      </x:c>
      <x:c r="L89" s="68" t="n">
        <x:v>0</x:v>
      </x:c>
      <x:c r="M89" s="68" t="n">
        <x:v>0</x:v>
      </x:c>
      <x:c r="N89" s="68" t="n">
        <x:v>10413.477195000001</x:v>
      </x:c>
      <x:c r="O89" s="68" t="n">
        <x:v>10550.043465</x:v>
      </x:c>
      <x:c r="P89" s="68" t="n">
        <x:f>C89*J89</x:f>
        <x:v>0</x:v>
      </x:c>
      <x:c r="Q89" s="68" t="n">
        <x:f>C89*I89</x:f>
        <x:v>0</x:v>
      </x:c>
      <x:c r="R89" s="65" t="n">
        <x:f>J89+G89+L89-F89-K89-M89</x:f>
        <x:v>0</x:v>
      </x:c>
      <x:c r="S89" s="65" t="n">
        <x:f>O89-N89-0.9*K89+L89/0.9</x:f>
        <x:v>-4.831690603168681e-13</x:v>
      </x:c>
      <x:c r="T89" s="67" t="n">
        <x:f>IF(AND(K89&gt;0.00001,L89&gt;0.00001),1,0)</x:f>
        <x:v>0</x:v>
      </x:c>
      <x:c r="U89" s="74" t="n">
        <x:f>N89/12000</x:f>
        <x:v>0.8677897662500001</x:v>
      </x:c>
    </x:row>
    <x:row r="90">
      <x:c r="A90" s="49" t="str">
        <x:v>14:00-14:10</x:v>
      </x:c>
      <x:c r="B90" s="67" t="n">
        <x:v>840</x:v>
      </x:c>
      <x:c r="C90" s="73" t="n">
        <x:v>0.9754</x:v>
      </x:c>
      <x:c r="D90" s="68" t="n">
        <x:v>5692.2983</x:v>
      </x:c>
      <x:c r="E90" s="68" t="n">
        <x:v>6412.5085</x:v>
      </x:c>
      <x:c r="F90" s="68" t="n">
        <x:v>948.7163833333334</x:v>
      </x:c>
      <x:c r="G90" s="68" t="n">
        <x:v>1068.7514166666665</x:v>
      </x:c>
      <x:c r="H90" s="68" t="n">
        <x:v>-120.0350333333331</x:v>
      </x:c>
      <x:c r="I90" s="68" t="n">
        <x:v>0</x:v>
      </x:c>
      <x:c r="J90" s="68" t="n">
        <x:v>0</x:v>
      </x:c>
      <x:c r="K90" s="68" t="n">
        <x:v>120.0350333333331</x:v>
      </x:c>
      <x:c r="L90" s="68" t="n">
        <x:v>0</x:v>
      </x:c>
      <x:c r="M90" s="68" t="n">
        <x:v>0</x:v>
      </x:c>
      <x:c r="N90" s="68" t="n">
        <x:v>10550.043465</x:v>
      </x:c>
      <x:c r="O90" s="68" t="n">
        <x:v>10658.074995</x:v>
      </x:c>
      <x:c r="P90" s="68" t="n">
        <x:f>C90*J90</x:f>
        <x:v>0</x:v>
      </x:c>
      <x:c r="Q90" s="68" t="n">
        <x:f>C90*I90</x:f>
        <x:v>0</x:v>
      </x:c>
      <x:c r="R90" s="65" t="n">
        <x:f>J90+G90+L90-F90-K90-M90</x:f>
        <x:v>0</x:v>
      </x:c>
      <x:c r="S90" s="65" t="n">
        <x:f>O90-N90-0.9*K90+L90/0.9</x:f>
        <x:v>4.121147867408581e-13</x:v>
      </x:c>
      <x:c r="T90" s="67" t="n">
        <x:f>IF(AND(K90&gt;0.00001,L90&gt;0.00001),1,0)</x:f>
        <x:v>0</x:v>
      </x:c>
      <x:c r="U90" s="74" t="n">
        <x:f>N90/12000</x:f>
        <x:v>0.87917028875</x:v>
      </x:c>
    </x:row>
    <x:row r="91">
      <x:c r="A91" s="49" t="str">
        <x:v>14:10-14:20</x:v>
      </x:c>
      <x:c r="B91" s="67" t="n">
        <x:v>850</x:v>
      </x:c>
      <x:c r="C91" s="73" t="n">
        <x:v>1.0002</x:v>
      </x:c>
      <x:c r="D91" s="68" t="n">
        <x:v>5687.1291</x:v>
      </x:c>
      <x:c r="E91" s="68" t="n">
        <x:v>6214.0158</x:v>
      </x:c>
      <x:c r="F91" s="68" t="n">
        <x:v>947.8548499999999</x:v>
      </x:c>
      <x:c r="G91" s="68" t="n">
        <x:v>1035.6693</x:v>
      </x:c>
      <x:c r="H91" s="68" t="n">
        <x:v>-87.81445000000008</x:v>
      </x:c>
      <x:c r="I91" s="68" t="n">
        <x:v>0</x:v>
      </x:c>
      <x:c r="J91" s="68" t="n">
        <x:v>0</x:v>
      </x:c>
      <x:c r="K91" s="68" t="n">
        <x:v>87.81445000000008</x:v>
      </x:c>
      <x:c r="L91" s="68" t="n">
        <x:v>0</x:v>
      </x:c>
      <x:c r="M91" s="68" t="n">
        <x:v>0</x:v>
      </x:c>
      <x:c r="N91" s="68" t="n">
        <x:v>10658.074995</x:v>
      </x:c>
      <x:c r="O91" s="68" t="n">
        <x:v>10737.108</x:v>
      </x:c>
      <x:c r="P91" s="68" t="n">
        <x:f>C91*J91</x:f>
        <x:v>0</x:v>
      </x:c>
      <x:c r="Q91" s="68" t="n">
        <x:f>C91*I91</x:f>
        <x:v>0</x:v>
      </x:c>
      <x:c r="R91" s="65" t="n">
        <x:f>J91+G91+L91-F91-K91-M91</x:f>
        <x:v>0</x:v>
      </x:c>
      <x:c r="S91" s="65" t="n">
        <x:f>O91-N91-0.9*K91+L91/0.9</x:f>
        <x:v>-7.531752999057062e-13</x:v>
      </x:c>
      <x:c r="T91" s="67" t="n">
        <x:f>IF(AND(K91&gt;0.00001,L91&gt;0.00001),1,0)</x:f>
        <x:v>0</x:v>
      </x:c>
      <x:c r="U91" s="74" t="n">
        <x:f>N91/12000</x:f>
        <x:v>0.88817291625</x:v>
      </x:c>
    </x:row>
    <x:row r="92">
      <x:c r="A92" s="49" t="str">
        <x:v>14:20-14:30</x:v>
      </x:c>
      <x:c r="B92" s="67" t="n">
        <x:v>860</x:v>
      </x:c>
      <x:c r="C92" s="73" t="n">
        <x:v>0.9978</x:v>
      </x:c>
      <x:c r="D92" s="68" t="n">
        <x:v>5678.962</x:v>
      </x:c>
      <x:c r="E92" s="68" t="n">
        <x:v>6000.7112</x:v>
      </x:c>
      <x:c r="F92" s="68" t="n">
        <x:v>946.4936666666667</x:v>
      </x:c>
      <x:c r="G92" s="68" t="n">
        <x:v>1000.1185333333333</x:v>
      </x:c>
      <x:c r="H92" s="68" t="n">
        <x:v>-53.62486666666655</x:v>
      </x:c>
      <x:c r="I92" s="68" t="n">
        <x:v>0</x:v>
      </x:c>
      <x:c r="J92" s="68" t="n">
        <x:v>0</x:v>
      </x:c>
      <x:c r="K92" s="68" t="n">
        <x:v>53.62486666666655</x:v>
      </x:c>
      <x:c r="L92" s="68" t="n">
        <x:v>0</x:v>
      </x:c>
      <x:c r="M92" s="68" t="n">
        <x:v>0</x:v>
      </x:c>
      <x:c r="N92" s="68" t="n">
        <x:v>10737.108</x:v>
      </x:c>
      <x:c r="O92" s="68" t="n">
        <x:v>10785.37038</x:v>
      </x:c>
      <x:c r="P92" s="68" t="n">
        <x:f>C92*J92</x:f>
        <x:v>0</x:v>
      </x:c>
      <x:c r="Q92" s="68" t="n">
        <x:f>C92*I92</x:f>
        <x:v>0</x:v>
      </x:c>
      <x:c r="R92" s="65" t="n">
        <x:f>J92+G92+L92-F92-K92-M92</x:f>
        <x:v>0</x:v>
      </x:c>
      <x:c r="S92" s="65" t="n">
        <x:f>O92-N92-0.9*K92+L92/0.9</x:f>
        <x:v>2.2737367544323206e-13</x:v>
      </x:c>
      <x:c r="T92" s="67" t="n">
        <x:f>IF(AND(K92&gt;0.00001,L92&gt;0.00001),1,0)</x:f>
        <x:v>0</x:v>
      </x:c>
      <x:c r="U92" s="74" t="n">
        <x:f>N92/12000</x:f>
        <x:v>0.894759</x:v>
      </x:c>
    </x:row>
    <x:row r="93">
      <x:c r="A93" s="49" t="str">
        <x:v>14:30-14:40</x:v>
      </x:c>
      <x:c r="B93" s="67" t="n">
        <x:v>870</x:v>
      </x:c>
      <x:c r="C93" s="73" t="n">
        <x:v>1.0271</x:v>
      </x:c>
      <x:c r="D93" s="68" t="n">
        <x:v>5669.4508</x:v>
      </x:c>
      <x:c r="E93" s="68" t="n">
        <x:v>5766.9816</x:v>
      </x:c>
      <x:c r="F93" s="68" t="n">
        <x:v>944.9084666666665</x:v>
      </x:c>
      <x:c r="G93" s="68" t="n">
        <x:v>961.1636</x:v>
      </x:c>
      <x:c r="H93" s="68" t="n">
        <x:v>-16.255133333333447</x:v>
      </x:c>
      <x:c r="I93" s="68" t="n">
        <x:v>0</x:v>
      </x:c>
      <x:c r="J93" s="68" t="n">
        <x:v>0</x:v>
      </x:c>
      <x:c r="K93" s="68" t="n">
        <x:v>16.255133333333447</x:v>
      </x:c>
      <x:c r="L93" s="68" t="n">
        <x:v>0</x:v>
      </x:c>
      <x:c r="M93" s="68" t="n">
        <x:v>0</x:v>
      </x:c>
      <x:c r="N93" s="68" t="n">
        <x:v>10785.37038</x:v>
      </x:c>
      <x:c r="O93" s="68" t="n">
        <x:v>10800</x:v>
      </x:c>
      <x:c r="P93" s="68" t="n">
        <x:f>C93*J93</x:f>
        <x:v>0</x:v>
      </x:c>
      <x:c r="Q93" s="68" t="n">
        <x:f>C93*I93</x:f>
        <x:v>0</x:v>
      </x:c>
      <x:c r="R93" s="65" t="n">
        <x:f>J93+G93+L93-F93-K93-M93</x:f>
        <x:v>0</x:v>
      </x:c>
      <x:c r="S93" s="65" t="n">
        <x:f>O93-N93-0.9*K93+L93/0.9</x:f>
        <x:v>-3.979039320256561e-13</x:v>
      </x:c>
      <x:c r="T93" s="67" t="n">
        <x:f>IF(AND(K93&gt;0.00001,L93&gt;0.00001),1,0)</x:f>
        <x:v>0</x:v>
      </x:c>
      <x:c r="U93" s="74" t="n">
        <x:f>N93/12000</x:f>
        <x:v>0.898780865</x:v>
      </x:c>
    </x:row>
    <x:row r="94">
      <x:c r="A94" s="49" t="str">
        <x:v>14:40-14:50</x:v>
      </x:c>
      <x:c r="B94" s="67" t="n">
        <x:v>880</x:v>
      </x:c>
      <x:c r="C94" s="73" t="n">
        <x:v>1.0906</x:v>
      </x:c>
      <x:c r="D94" s="68" t="n">
        <x:v>5664.1948</x:v>
      </x:c>
      <x:c r="E94" s="68" t="n">
        <x:v>5521.5066</x:v>
      </x:c>
      <x:c r="F94" s="68" t="n">
        <x:v>944.0324666666667</x:v>
      </x:c>
      <x:c r="G94" s="68" t="n">
        <x:v>920.2511</x:v>
      </x:c>
      <x:c r="H94" s="68" t="n">
        <x:v>23.781366666666713</x:v>
      </x:c>
      <x:c r="I94" s="68" t="n">
        <x:v>23.781366666666713</x:v>
      </x:c>
      <x:c r="J94" s="68" t="n">
        <x:v>0</x:v>
      </x:c>
      <x:c r="K94" s="68" t="n">
        <x:v>0</x:v>
      </x:c>
      <x:c r="L94" s="68" t="n">
        <x:v>23.781366666666713</x:v>
      </x:c>
      <x:c r="M94" s="68" t="n">
        <x:v>0</x:v>
      </x:c>
      <x:c r="N94" s="68" t="n">
        <x:v>10800</x:v>
      </x:c>
      <x:c r="O94" s="68" t="n">
        <x:v>10773.57625925926</x:v>
      </x:c>
      <x:c r="P94" s="68" t="n">
        <x:f>C94*J94</x:f>
        <x:v>0</x:v>
      </x:c>
      <x:c r="Q94" s="68" t="n">
        <x:f>C94*I94</x:f>
        <x:v>25.935958486666717</x:v>
      </x:c>
      <x:c r="R94" s="65" t="n">
        <x:f>J94+G94+L94-F94-K94-M94</x:f>
        <x:v>0</x:v>
      </x:c>
      <x:c r="S94" s="65" t="n">
        <x:f>O94-N94-0.9*K94+L94/0.9</x:f>
        <x:v>8.313350008393172e-13</x:v>
      </x:c>
      <x:c r="T94" s="67" t="n">
        <x:f>IF(AND(K94&gt;0.00001,L94&gt;0.00001),1,0)</x:f>
        <x:v>0</x:v>
      </x:c>
      <x:c r="U94" s="74" t="n">
        <x:f>N94/12000</x:f>
        <x:v>0.9</x:v>
      </x:c>
    </x:row>
    <x:row r="95">
      <x:c r="A95" s="49" t="str">
        <x:v>14:50-15:00</x:v>
      </x:c>
      <x:c r="B95" s="67" t="n">
        <x:v>890</x:v>
      </x:c>
      <x:c r="C95" s="73" t="n">
        <x:v>0.9376</x:v>
      </x:c>
      <x:c r="D95" s="68" t="n">
        <x:v>5672.7011</x:v>
      </x:c>
      <x:c r="E95" s="68" t="n">
        <x:v>5268.781</x:v>
      </x:c>
      <x:c r="F95" s="68" t="n">
        <x:v>945.4501833333334</x:v>
      </x:c>
      <x:c r="G95" s="68" t="n">
        <x:v>878.1301666666666</x:v>
      </x:c>
      <x:c r="H95" s="68" t="n">
        <x:v>67.32001666666679</x:v>
      </x:c>
      <x:c r="I95" s="68" t="n">
        <x:v>67.32001666666679</x:v>
      </x:c>
      <x:c r="J95" s="68" t="n">
        <x:v>0</x:v>
      </x:c>
      <x:c r="K95" s="68" t="n">
        <x:v>0</x:v>
      </x:c>
      <x:c r="L95" s="68" t="n">
        <x:v>67.32001666666679</x:v>
      </x:c>
      <x:c r="M95" s="68" t="n">
        <x:v>0</x:v>
      </x:c>
      <x:c r="N95" s="68" t="n">
        <x:v>10773.57625925926</x:v>
      </x:c>
      <x:c r="O95" s="68" t="n">
        <x:v>10698.77624074074</x:v>
      </x:c>
      <x:c r="P95" s="68" t="n">
        <x:f>C95*J95</x:f>
        <x:v>0</x:v>
      </x:c>
      <x:c r="Q95" s="68" t="n">
        <x:f>C95*I95</x:f>
        <x:v>63.11924762666678</x:v>
      </x:c>
      <x:c r="R95" s="65" t="n">
        <x:f>J95+G95+L95-F95-K95-M95</x:f>
        <x:v>0</x:v>
      </x:c>
      <x:c r="S95" s="65" t="n">
        <x:f>O95-N95-0.9*K95+L95/0.9</x:f>
        <x:v>-5.542233338928781e-13</x:v>
      </x:c>
      <x:c r="T95" s="67" t="n">
        <x:f>IF(AND(K95&gt;0.00001,L95&gt;0.00001),1,0)</x:f>
        <x:v>0</x:v>
      </x:c>
      <x:c r="U95" s="74" t="n">
        <x:f>N95/12000</x:f>
        <x:v>0.8977980216049384</x:v>
      </x:c>
    </x:row>
    <x:row r="96">
      <x:c r="A96" s="49" t="str">
        <x:v>15:00-15:10</x:v>
      </x:c>
      <x:c r="B96" s="67" t="n">
        <x:v>900</x:v>
      </x:c>
      <x:c r="C96" s="73" t="n">
        <x:v>0.6694</x:v>
      </x:c>
      <x:c r="D96" s="68" t="n">
        <x:v>5682.2544</x:v>
      </x:c>
      <x:c r="E96" s="68" t="n">
        <x:v>5009.7152</x:v>
      </x:c>
      <x:c r="F96" s="68" t="n">
        <x:v>947.0423999999999</x:v>
      </x:c>
      <x:c r="G96" s="68" t="n">
        <x:v>834.9525333333332</x:v>
      </x:c>
      <x:c r="H96" s="68" t="n">
        <x:v>112.0898666666667</x:v>
      </x:c>
      <x:c r="I96" s="68" t="n">
        <x:v>112.0898666666667</x:v>
      </x:c>
      <x:c r="J96" s="68" t="n">
        <x:v>112.0898666666667</x:v>
      </x:c>
      <x:c r="K96" s="68" t="n">
        <x:v>0</x:v>
      </x:c>
      <x:c r="L96" s="68" t="n">
        <x:v>0</x:v>
      </x:c>
      <x:c r="M96" s="68" t="n">
        <x:v>0</x:v>
      </x:c>
      <x:c r="N96" s="68" t="n">
        <x:v>10698.77624074074</x:v>
      </x:c>
      <x:c r="O96" s="68" t="n">
        <x:v>10698.77624074074</x:v>
      </x:c>
      <x:c r="P96" s="68" t="n">
        <x:f>C96*J96</x:f>
        <x:v>75.03295674666668</x:v>
      </x:c>
      <x:c r="Q96" s="68" t="n">
        <x:f>C96*I96</x:f>
        <x:v>75.03295674666668</x:v>
      </x:c>
      <x:c r="R96" s="65" t="n">
        <x:f>J96+G96+L96-F96-K96-M96</x:f>
        <x:v>0</x:v>
      </x:c>
      <x:c r="S96" s="65" t="n">
        <x:f>O96-N96-0.9*K96+L96/0.9</x:f>
        <x:v>0</x:v>
      </x:c>
      <x:c r="T96" s="67" t="n">
        <x:f>IF(AND(K96&gt;0.00001,L96&gt;0.00001),1,0)</x:f>
        <x:v>0</x:v>
      </x:c>
      <x:c r="U96" s="74" t="n">
        <x:f>N96/12000</x:f>
        <x:v>0.8915646867283951</x:v>
      </x:c>
    </x:row>
    <x:row r="97">
      <x:c r="A97" s="49" t="str">
        <x:v>15:10-15:20</x:v>
      </x:c>
      <x:c r="B97" s="67" t="n">
        <x:v>910</x:v>
      </x:c>
      <x:c r="C97" s="73" t="n">
        <x:v>0.66</x:v>
      </x:c>
      <x:c r="D97" s="68" t="n">
        <x:v>5669.0195</x:v>
      </x:c>
      <x:c r="E97" s="68" t="n">
        <x:v>4743.4484</x:v>
      </x:c>
      <x:c r="F97" s="68" t="n">
        <x:v>944.8365833333334</x:v>
      </x:c>
      <x:c r="G97" s="68" t="n">
        <x:v>790.5747333333334</x:v>
      </x:c>
      <x:c r="H97" s="68" t="n">
        <x:v>154.26184999999998</x:v>
      </x:c>
      <x:c r="I97" s="68" t="n">
        <x:v>154.26184999999998</x:v>
      </x:c>
      <x:c r="J97" s="68" t="n">
        <x:v>266.73269362139905</x:v>
      </x:c>
      <x:c r="K97" s="68" t="n">
        <x:v>112.47084362139907</x:v>
      </x:c>
      <x:c r="L97" s="68" t="n">
        <x:v>0</x:v>
      </x:c>
      <x:c r="M97" s="68" t="n">
        <x:v>0</x:v>
      </x:c>
      <x:c r="N97" s="68" t="n">
        <x:v>10698.77624074074</x:v>
      </x:c>
      <x:c r="O97" s="68" t="n">
        <x:v>10800</x:v>
      </x:c>
      <x:c r="P97" s="68" t="n">
        <x:f>C97*J97</x:f>
        <x:v>176.04357779012338</x:v>
      </x:c>
      <x:c r="Q97" s="68" t="n">
        <x:f>C97*I97</x:f>
        <x:v>101.81282099999999</x:v>
      </x:c>
      <x:c r="R97" s="65" t="n">
        <x:f>J97+G97+L97-F97-K97-M97</x:f>
        <x:v>-5.684341886080802e-14</x:v>
      </x:c>
      <x:c r="S97" s="65" t="n">
        <x:f>O97-N97-0.9*K97+L97/0.9</x:f>
        <x:v>0</x:v>
      </x:c>
      <x:c r="T97" s="67" t="n">
        <x:f>IF(AND(K97&gt;0.00001,L97&gt;0.00001),1,0)</x:f>
        <x:v>0</x:v>
      </x:c>
      <x:c r="U97" s="74" t="n">
        <x:f>N97/12000</x:f>
        <x:v>0.8915646867283951</x:v>
      </x:c>
    </x:row>
    <x:row r="98">
      <x:c r="A98" s="49" t="str">
        <x:v>15:20-15:30</x:v>
      </x:c>
      <x:c r="B98" s="67" t="n">
        <x:v>920</x:v>
      </x:c>
      <x:c r="C98" s="73" t="n">
        <x:v>0.7217</x:v>
      </x:c>
      <x:c r="D98" s="68" t="n">
        <x:v>5656.3651</x:v>
      </x:c>
      <x:c r="E98" s="68" t="n">
        <x:v>4471.224</x:v>
      </x:c>
      <x:c r="F98" s="68" t="n">
        <x:v>942.7275166666666</x:v>
      </x:c>
      <x:c r="G98" s="68" t="n">
        <x:v>745.204</x:v>
      </x:c>
      <x:c r="H98" s="68" t="n">
        <x:v>197.52351666666664</x:v>
      </x:c>
      <x:c r="I98" s="68" t="n">
        <x:v>197.52351666666664</x:v>
      </x:c>
      <x:c r="J98" s="68" t="n">
        <x:v>197.52351666666664</x:v>
      </x:c>
      <x:c r="K98" s="68" t="n">
        <x:v>0</x:v>
      </x:c>
      <x:c r="L98" s="68" t="n">
        <x:v>0</x:v>
      </x:c>
      <x:c r="M98" s="68" t="n">
        <x:v>0</x:v>
      </x:c>
      <x:c r="N98" s="68" t="n">
        <x:v>10800</x:v>
      </x:c>
      <x:c r="O98" s="68" t="n">
        <x:v>10800</x:v>
      </x:c>
      <x:c r="P98" s="68" t="n">
        <x:f>C98*J98</x:f>
        <x:v>142.55272197833332</x:v>
      </x:c>
      <x:c r="Q98" s="68" t="n">
        <x:f>C98*I98</x:f>
        <x:v>142.55272197833332</x:v>
      </x:c>
      <x:c r="R98" s="65" t="n">
        <x:f>J98+G98+L98-F98-K98-M98</x:f>
        <x:v>0</x:v>
      </x:c>
      <x:c r="S98" s="65" t="n">
        <x:f>O98-N98-0.9*K98+L98/0.9</x:f>
        <x:v>0</x:v>
      </x:c>
      <x:c r="T98" s="67" t="n">
        <x:f>IF(AND(K98&gt;0.00001,L98&gt;0.00001),1,0)</x:f>
        <x:v>0</x:v>
      </x:c>
      <x:c r="U98" s="74" t="n">
        <x:f>N98/12000</x:f>
        <x:v>0.9</x:v>
      </x:c>
    </x:row>
    <x:row r="99">
      <x:c r="A99" s="49" t="str">
        <x:v>15:30-15:40</x:v>
      </x:c>
      <x:c r="B99" s="67" t="n">
        <x:v>930</x:v>
      </x:c>
      <x:c r="C99" s="73" t="n">
        <x:v>0.7308</x:v>
      </x:c>
      <x:c r="D99" s="68" t="n">
        <x:v>5657.0867</x:v>
      </x:c>
      <x:c r="E99" s="68" t="n">
        <x:v>4188.2025</x:v>
      </x:c>
      <x:c r="F99" s="68" t="n">
        <x:v>942.8477833333333</x:v>
      </x:c>
      <x:c r="G99" s="68" t="n">
        <x:v>698.03375</x:v>
      </x:c>
      <x:c r="H99" s="68" t="n">
        <x:v>244.8140333333332</x:v>
      </x:c>
      <x:c r="I99" s="68" t="n">
        <x:v>244.8140333333332</x:v>
      </x:c>
      <x:c r="J99" s="68" t="n">
        <x:v>244.8140333333332</x:v>
      </x:c>
      <x:c r="K99" s="68" t="n">
        <x:v>0</x:v>
      </x:c>
      <x:c r="L99" s="68" t="n">
        <x:v>0</x:v>
      </x:c>
      <x:c r="M99" s="68" t="n">
        <x:v>0</x:v>
      </x:c>
      <x:c r="N99" s="68" t="n">
        <x:v>10800</x:v>
      </x:c>
      <x:c r="O99" s="68" t="n">
        <x:v>10800</x:v>
      </x:c>
      <x:c r="P99" s="68" t="n">
        <x:f>C99*J99</x:f>
        <x:v>178.91009555999992</x:v>
      </x:c>
      <x:c r="Q99" s="68" t="n">
        <x:f>C99*I99</x:f>
        <x:v>178.91009555999992</x:v>
      </x:c>
      <x:c r="R99" s="65" t="n">
        <x:f>J99+G99+L99-F99-K99-M99</x:f>
        <x:v>0</x:v>
      </x:c>
      <x:c r="S99" s="65" t="n">
        <x:f>O99-N99-0.9*K99+L99/0.9</x:f>
        <x:v>0</x:v>
      </x:c>
      <x:c r="T99" s="67" t="n">
        <x:f>IF(AND(K99&gt;0.00001,L99&gt;0.00001),1,0)</x:f>
        <x:v>0</x:v>
      </x:c>
      <x:c r="U99" s="74" t="n">
        <x:f>N99/12000</x:f>
        <x:v>0.9</x:v>
      </x:c>
    </x:row>
    <x:row r="100">
      <x:c r="A100" s="49" t="str">
        <x:v>15:40-15:50</x:v>
      </x:c>
      <x:c r="B100" s="67" t="n">
        <x:v>940</x:v>
      </x:c>
      <x:c r="C100" s="73" t="n">
        <x:v>0.7534</x:v>
      </x:c>
      <x:c r="D100" s="68" t="n">
        <x:v>5662.6008</x:v>
      </x:c>
      <x:c r="E100" s="68" t="n">
        <x:v>3889.3931</x:v>
      </x:c>
      <x:c r="F100" s="68" t="n">
        <x:v>943.7668</x:v>
      </x:c>
      <x:c r="G100" s="68" t="n">
        <x:v>648.2321833333333</x:v>
      </x:c>
      <x:c r="H100" s="68" t="n">
        <x:v>295.5346166666667</x:v>
      </x:c>
      <x:c r="I100" s="68" t="n">
        <x:v>295.5346166666667</x:v>
      </x:c>
      <x:c r="J100" s="68" t="n">
        <x:v>295.5346166666667</x:v>
      </x:c>
      <x:c r="K100" s="68" t="n">
        <x:v>0</x:v>
      </x:c>
      <x:c r="L100" s="68" t="n">
        <x:v>0</x:v>
      </x:c>
      <x:c r="M100" s="68" t="n">
        <x:v>0</x:v>
      </x:c>
      <x:c r="N100" s="68" t="n">
        <x:v>10800</x:v>
      </x:c>
      <x:c r="O100" s="68" t="n">
        <x:v>10800</x:v>
      </x:c>
      <x:c r="P100" s="68" t="n">
        <x:f>C100*J100</x:f>
        <x:v>222.65578019666668</x:v>
      </x:c>
      <x:c r="Q100" s="68" t="n">
        <x:f>C100*I100</x:f>
        <x:v>222.65578019666668</x:v>
      </x:c>
      <x:c r="R100" s="65" t="n">
        <x:f>J100+G100+L100-F100-K100-M100</x:f>
        <x:v>0</x:v>
      </x:c>
      <x:c r="S100" s="65" t="n">
        <x:f>O100-N100-0.9*K100+L100/0.9</x:f>
        <x:v>0</x:v>
      </x:c>
      <x:c r="T100" s="67" t="n">
        <x:f>IF(AND(K100&gt;0.00001,L100&gt;0.00001),1,0)</x:f>
        <x:v>0</x:v>
      </x:c>
      <x:c r="U100" s="74" t="n">
        <x:f>N100/12000</x:f>
        <x:v>0.9</x:v>
      </x:c>
    </x:row>
    <x:row r="101">
      <x:c r="A101" s="49" t="str">
        <x:v>15:50-16:00</x:v>
      </x:c>
      <x:c r="B101" s="67" t="n">
        <x:v>950</x:v>
      </x:c>
      <x:c r="C101" s="73" t="n">
        <x:v>0.7823</x:v>
      </x:c>
      <x:c r="D101" s="68" t="n">
        <x:v>5669.2596</x:v>
      </x:c>
      <x:c r="E101" s="68" t="n">
        <x:v>3594.5946</x:v>
      </x:c>
      <x:c r="F101" s="68" t="n">
        <x:v>944.8766</x:v>
      </x:c>
      <x:c r="G101" s="68" t="n">
        <x:v>599.0990999999999</x:v>
      </x:c>
      <x:c r="H101" s="68" t="n">
        <x:v>345.77750000000015</x:v>
      </x:c>
      <x:c r="I101" s="68" t="n">
        <x:v>345.77750000000015</x:v>
      </x:c>
      <x:c r="J101" s="68" t="n">
        <x:v>345.77750000000015</x:v>
      </x:c>
      <x:c r="K101" s="68" t="n">
        <x:v>0</x:v>
      </x:c>
      <x:c r="L101" s="68" t="n">
        <x:v>0</x:v>
      </x:c>
      <x:c r="M101" s="68" t="n">
        <x:v>0</x:v>
      </x:c>
      <x:c r="N101" s="68" t="n">
        <x:v>10800</x:v>
      </x:c>
      <x:c r="O101" s="68" t="n">
        <x:v>10800</x:v>
      </x:c>
      <x:c r="P101" s="68" t="n">
        <x:f>C101*J101</x:f>
        <x:v>270.50173825000013</x:v>
      </x:c>
      <x:c r="Q101" s="68" t="n">
        <x:f>C101*I101</x:f>
        <x:v>270.50173825000013</x:v>
      </x:c>
      <x:c r="R101" s="65" t="n">
        <x:f>J101+G101+L101-F101-K101-M101</x:f>
        <x:v>0</x:v>
      </x:c>
      <x:c r="S101" s="65" t="n">
        <x:f>O101-N101-0.9*K101+L101/0.9</x:f>
        <x:v>0</x:v>
      </x:c>
      <x:c r="T101" s="67" t="n">
        <x:f>IF(AND(K101&gt;0.00001,L101&gt;0.00001),1,0)</x:f>
        <x:v>0</x:v>
      </x:c>
      <x:c r="U101" s="74" t="n">
        <x:f>N101/12000</x:f>
        <x:v>0.9</x:v>
      </x:c>
    </x:row>
    <x:row r="102">
      <x:c r="A102" s="49" t="str">
        <x:v>16:00-16:10</x:v>
      </x:c>
      <x:c r="B102" s="67" t="n">
        <x:v>960</x:v>
      </x:c>
      <x:c r="C102" s="73" t="n">
        <x:v>0.8055</x:v>
      </x:c>
      <x:c r="D102" s="68" t="n">
        <x:v>5673.4767</x:v>
      </x:c>
      <x:c r="E102" s="68" t="n">
        <x:v>3303.8878</x:v>
      </x:c>
      <x:c r="F102" s="68" t="n">
        <x:v>945.57945</x:v>
      </x:c>
      <x:c r="G102" s="68" t="n">
        <x:v>550.6479666666667</x:v>
      </x:c>
      <x:c r="H102" s="68" t="n">
        <x:v>394.9314833333333</x:v>
      </x:c>
      <x:c r="I102" s="68" t="n">
        <x:v>394.9314833333333</x:v>
      </x:c>
      <x:c r="J102" s="68" t="n">
        <x:v>394.9314833333333</x:v>
      </x:c>
      <x:c r="K102" s="68" t="n">
        <x:v>0</x:v>
      </x:c>
      <x:c r="L102" s="68" t="n">
        <x:v>0</x:v>
      </x:c>
      <x:c r="M102" s="68" t="n">
        <x:v>0</x:v>
      </x:c>
      <x:c r="N102" s="68" t="n">
        <x:v>10800</x:v>
      </x:c>
      <x:c r="O102" s="68" t="n">
        <x:v>10800</x:v>
      </x:c>
      <x:c r="P102" s="68" t="n">
        <x:f>C102*J102</x:f>
        <x:v>318.11730982499995</x:v>
      </x:c>
      <x:c r="Q102" s="68" t="n">
        <x:f>C102*I102</x:f>
        <x:v>318.11730982499995</x:v>
      </x:c>
      <x:c r="R102" s="65" t="n">
        <x:f>J102+G102+L102-F102-K102-M102</x:f>
        <x:v>0</x:v>
      </x:c>
      <x:c r="S102" s="65" t="n">
        <x:f>O102-N102-0.9*K102+L102/0.9</x:f>
        <x:v>0</x:v>
      </x:c>
      <x:c r="T102" s="67" t="n">
        <x:f>IF(AND(K102&gt;0.00001,L102&gt;0.00001),1,0)</x:f>
        <x:v>0</x:v>
      </x:c>
      <x:c r="U102" s="74" t="n">
        <x:f>N102/12000</x:f>
        <x:v>0.9</x:v>
      </x:c>
    </x:row>
    <x:row r="103">
      <x:c r="A103" s="49" t="str">
        <x:v>16:10-16:20</x:v>
      </x:c>
      <x:c r="B103" s="67" t="n">
        <x:v>970</x:v>
      </x:c>
      <x:c r="C103" s="73" t="n">
        <x:v>0.8271</x:v>
      </x:c>
      <x:c r="D103" s="68" t="n">
        <x:v>5671.0146</x:v>
      </x:c>
      <x:c r="E103" s="68" t="n">
        <x:v>2998.4247</x:v>
      </x:c>
      <x:c r="F103" s="68" t="n">
        <x:v>945.1691000000001</x:v>
      </x:c>
      <x:c r="G103" s="68" t="n">
        <x:v>499.73744999999997</x:v>
      </x:c>
      <x:c r="H103" s="68" t="n">
        <x:v>445.4316500000001</x:v>
      </x:c>
      <x:c r="I103" s="68" t="n">
        <x:v>445.4316500000001</x:v>
      </x:c>
      <x:c r="J103" s="68" t="n">
        <x:v>445.4316500000001</x:v>
      </x:c>
      <x:c r="K103" s="68" t="n">
        <x:v>0</x:v>
      </x:c>
      <x:c r="L103" s="68" t="n">
        <x:v>0</x:v>
      </x:c>
      <x:c r="M103" s="68" t="n">
        <x:v>0</x:v>
      </x:c>
      <x:c r="N103" s="68" t="n">
        <x:v>10800</x:v>
      </x:c>
      <x:c r="O103" s="68" t="n">
        <x:v>10800</x:v>
      </x:c>
      <x:c r="P103" s="68" t="n">
        <x:f>C103*J103</x:f>
        <x:v>368.41651771500005</x:v>
      </x:c>
      <x:c r="Q103" s="68" t="n">
        <x:f>C103*I103</x:f>
        <x:v>368.41651771500005</x:v>
      </x:c>
      <x:c r="R103" s="65" t="n">
        <x:f>J103+G103+L103-F103-K103-M103</x:f>
        <x:v>0</x:v>
      </x:c>
      <x:c r="S103" s="65" t="n">
        <x:f>O103-N103-0.9*K103+L103/0.9</x:f>
        <x:v>0</x:v>
      </x:c>
      <x:c r="T103" s="67" t="n">
        <x:f>IF(AND(K103&gt;0.00001,L103&gt;0.00001),1,0)</x:f>
        <x:v>0</x:v>
      </x:c>
      <x:c r="U103" s="74" t="n">
        <x:f>N103/12000</x:f>
        <x:v>0.9</x:v>
      </x:c>
    </x:row>
    <x:row r="104">
      <x:c r="A104" s="49" t="str">
        <x:v>16:20-16:30</x:v>
      </x:c>
      <x:c r="B104" s="67" t="n">
        <x:v>980</x:v>
      </x:c>
      <x:c r="C104" s="73" t="n">
        <x:v>0.8519</x:v>
      </x:c>
      <x:c r="D104" s="68" t="n">
        <x:v>5661.5926</x:v>
      </x:c>
      <x:c r="E104" s="68" t="n">
        <x:v>2687.4131</x:v>
      </x:c>
      <x:c r="F104" s="68" t="n">
        <x:v>943.5987666666666</x:v>
      </x:c>
      <x:c r="G104" s="68" t="n">
        <x:v>447.90218333333337</x:v>
      </x:c>
      <x:c r="H104" s="68" t="n">
        <x:v>495.69658333333325</x:v>
      </x:c>
      <x:c r="I104" s="68" t="n">
        <x:v>495.69658333333325</x:v>
      </x:c>
      <x:c r="J104" s="68" t="n">
        <x:v>495.69658333333325</x:v>
      </x:c>
      <x:c r="K104" s="68" t="n">
        <x:v>0</x:v>
      </x:c>
      <x:c r="L104" s="68" t="n">
        <x:v>0</x:v>
      </x:c>
      <x:c r="M104" s="68" t="n">
        <x:v>0</x:v>
      </x:c>
      <x:c r="N104" s="68" t="n">
        <x:v>10800</x:v>
      </x:c>
      <x:c r="O104" s="68" t="n">
        <x:v>10800</x:v>
      </x:c>
      <x:c r="P104" s="68" t="n">
        <x:f>C104*J104</x:f>
        <x:v>422.2839193416666</x:v>
      </x:c>
      <x:c r="Q104" s="68" t="n">
        <x:f>C104*I104</x:f>
        <x:v>422.2839193416666</x:v>
      </x:c>
      <x:c r="R104" s="65" t="n">
        <x:f>J104+G104+L104-F104-K104-M104</x:f>
        <x:v>0</x:v>
      </x:c>
      <x:c r="S104" s="65" t="n">
        <x:f>O104-N104-0.9*K104+L104/0.9</x:f>
        <x:v>0</x:v>
      </x:c>
      <x:c r="T104" s="67" t="n">
        <x:f>IF(AND(K104&gt;0.00001,L104&gt;0.00001),1,0)</x:f>
        <x:v>0</x:v>
      </x:c>
      <x:c r="U104" s="74" t="n">
        <x:f>N104/12000</x:f>
        <x:v>0.9</x:v>
      </x:c>
    </x:row>
    <x:row r="105">
      <x:c r="A105" s="49" t="str">
        <x:v>16:30-16:40</x:v>
      </x:c>
      <x:c r="B105" s="67" t="n">
        <x:v>990</x:v>
      </x:c>
      <x:c r="C105" s="73" t="n">
        <x:v>0.8791</x:v>
      </x:c>
      <x:c r="D105" s="68" t="n">
        <x:v>5665.8922</x:v>
      </x:c>
      <x:c r="E105" s="68" t="n">
        <x:v>2383.1779</x:v>
      </x:c>
      <x:c r="F105" s="68" t="n">
        <x:v>944.3153666666667</x:v>
      </x:c>
      <x:c r="G105" s="68" t="n">
        <x:v>397.1963166666667</x:v>
      </x:c>
      <x:c r="H105" s="68" t="n">
        <x:v>547.11905</x:v>
      </x:c>
      <x:c r="I105" s="68" t="n">
        <x:v>547.11905</x:v>
      </x:c>
      <x:c r="J105" s="68" t="n">
        <x:v>547.11905</x:v>
      </x:c>
      <x:c r="K105" s="68" t="n">
        <x:v>0</x:v>
      </x:c>
      <x:c r="L105" s="68" t="n">
        <x:v>0</x:v>
      </x:c>
      <x:c r="M105" s="68" t="n">
        <x:v>0</x:v>
      </x:c>
      <x:c r="N105" s="68" t="n">
        <x:v>10800</x:v>
      </x:c>
      <x:c r="O105" s="68" t="n">
        <x:v>10800</x:v>
      </x:c>
      <x:c r="P105" s="68" t="n">
        <x:f>C105*J105</x:f>
        <x:v>480.972356855</x:v>
      </x:c>
      <x:c r="Q105" s="68" t="n">
        <x:f>C105*I105</x:f>
        <x:v>480.972356855</x:v>
      </x:c>
      <x:c r="R105" s="65" t="n">
        <x:f>J105+G105+L105-F105-K105-M105</x:f>
        <x:v>0</x:v>
      </x:c>
      <x:c r="S105" s="65" t="n">
        <x:f>O105-N105-0.9*K105+L105/0.9</x:f>
        <x:v>0</x:v>
      </x:c>
      <x:c r="T105" s="67" t="n">
        <x:f>IF(AND(K105&gt;0.00001,L105&gt;0.00001),1,0)</x:f>
        <x:v>0</x:v>
      </x:c>
      <x:c r="U105" s="74" t="n">
        <x:f>N105/12000</x:f>
        <x:v>0.9</x:v>
      </x:c>
    </x:row>
    <x:row r="106">
      <x:c r="A106" s="49" t="str">
        <x:v>16:40-16:50</x:v>
      </x:c>
      <x:c r="B106" s="67" t="n">
        <x:v>1000</x:v>
      </x:c>
      <x:c r="C106" s="73" t="n">
        <x:v>0.9024</x:v>
      </x:c>
      <x:c r="D106" s="68" t="n">
        <x:v>5689.0372</x:v>
      </x:c>
      <x:c r="E106" s="68" t="n">
        <x:v>2089.1246</x:v>
      </x:c>
      <x:c r="F106" s="68" t="n">
        <x:v>948.1728666666666</x:v>
      </x:c>
      <x:c r="G106" s="68" t="n">
        <x:v>348.18743333333333</x:v>
      </x:c>
      <x:c r="H106" s="68" t="n">
        <x:v>599.9854333333333</x:v>
      </x:c>
      <x:c r="I106" s="68" t="n">
        <x:v>599.9854333333333</x:v>
      </x:c>
      <x:c r="J106" s="68" t="n">
        <x:v>599.9854333333333</x:v>
      </x:c>
      <x:c r="K106" s="68" t="n">
        <x:v>0</x:v>
      </x:c>
      <x:c r="L106" s="68" t="n">
        <x:v>0</x:v>
      </x:c>
      <x:c r="M106" s="68" t="n">
        <x:v>0</x:v>
      </x:c>
      <x:c r="N106" s="68" t="n">
        <x:v>10800</x:v>
      </x:c>
      <x:c r="O106" s="68" t="n">
        <x:v>10800</x:v>
      </x:c>
      <x:c r="P106" s="68" t="n">
        <x:f>C106*J106</x:f>
        <x:v>541.42685504</x:v>
      </x:c>
      <x:c r="Q106" s="68" t="n">
        <x:f>C106*I106</x:f>
        <x:v>541.42685504</x:v>
      </x:c>
      <x:c r="R106" s="65" t="n">
        <x:f>J106+G106+L106-F106-K106-M106</x:f>
        <x:v>0</x:v>
      </x:c>
      <x:c r="S106" s="65" t="n">
        <x:f>O106-N106-0.9*K106+L106/0.9</x:f>
        <x:v>0</x:v>
      </x:c>
      <x:c r="T106" s="67" t="n">
        <x:f>IF(AND(K106&gt;0.00001,L106&gt;0.00001),1,0)</x:f>
        <x:v>0</x:v>
      </x:c>
      <x:c r="U106" s="74" t="n">
        <x:f>N106/12000</x:f>
        <x:v>0.9</x:v>
      </x:c>
    </x:row>
    <x:row r="107">
      <x:c r="A107" s="49" t="str">
        <x:v>16:50-17:00</x:v>
      </x:c>
      <x:c r="B107" s="67" t="n">
        <x:v>1010</x:v>
      </x:c>
      <x:c r="C107" s="73" t="n">
        <x:v>0.9163</x:v>
      </x:c>
      <x:c r="D107" s="68" t="n">
        <x:v>5603.6614</x:v>
      </x:c>
      <x:c r="E107" s="68" t="n">
        <x:v>1791.0829</x:v>
      </x:c>
      <x:c r="F107" s="68" t="n">
        <x:v>933.9435666666666</x:v>
      </x:c>
      <x:c r="G107" s="68" t="n">
        <x:v>298.5138166666667</x:v>
      </x:c>
      <x:c r="H107" s="68" t="n">
        <x:v>635.4297499999999</x:v>
      </x:c>
      <x:c r="I107" s="68" t="n">
        <x:v>635.4297499999999</x:v>
      </x:c>
      <x:c r="J107" s="68" t="n">
        <x:v>635.4297499999999</x:v>
      </x:c>
      <x:c r="K107" s="68" t="n">
        <x:v>0</x:v>
      </x:c>
      <x:c r="L107" s="68" t="n">
        <x:v>0</x:v>
      </x:c>
      <x:c r="M107" s="68" t="n">
        <x:v>0</x:v>
      </x:c>
      <x:c r="N107" s="68" t="n">
        <x:v>10800</x:v>
      </x:c>
      <x:c r="O107" s="68" t="n">
        <x:v>10800</x:v>
      </x:c>
      <x:c r="P107" s="68" t="n">
        <x:f>C107*J107</x:f>
        <x:v>582.2442799249999</x:v>
      </x:c>
      <x:c r="Q107" s="68" t="n">
        <x:f>C107*I107</x:f>
        <x:v>582.2442799249999</x:v>
      </x:c>
      <x:c r="R107" s="65" t="n">
        <x:f>J107+G107+L107-F107-K107-M107</x:f>
        <x:v>0</x:v>
      </x:c>
      <x:c r="S107" s="65" t="n">
        <x:f>O107-N107-0.9*K107+L107/0.9</x:f>
        <x:v>0</x:v>
      </x:c>
      <x:c r="T107" s="67" t="n">
        <x:f>IF(AND(K107&gt;0.00001,L107&gt;0.00001),1,0)</x:f>
        <x:v>0</x:v>
      </x:c>
      <x:c r="U107" s="74" t="n">
        <x:f>N107/12000</x:f>
        <x:v>0.9</x:v>
      </x:c>
    </x:row>
    <x:row r="108">
      <x:c r="A108" s="49" t="str">
        <x:v>17:00-17:10</x:v>
      </x:c>
      <x:c r="B108" s="67" t="n">
        <x:v>1020</x:v>
      </x:c>
      <x:c r="C108" s="73" t="n">
        <x:v>0.9264</x:v>
      </x:c>
      <x:c r="D108" s="68" t="n">
        <x:v>5466.7124</x:v>
      </x:c>
      <x:c r="E108" s="68" t="n">
        <x:v>1501.7283</x:v>
      </x:c>
      <x:c r="F108" s="68" t="n">
        <x:v>911.1187333333334</x:v>
      </x:c>
      <x:c r="G108" s="68" t="n">
        <x:v>250.28805</x:v>
      </x:c>
      <x:c r="H108" s="68" t="n">
        <x:v>660.8306833333334</x:v>
      </x:c>
      <x:c r="I108" s="68" t="n">
        <x:v>660.8306833333334</x:v>
      </x:c>
      <x:c r="J108" s="68" t="n">
        <x:v>660.8306833333334</x:v>
      </x:c>
      <x:c r="K108" s="68" t="n">
        <x:v>0</x:v>
      </x:c>
      <x:c r="L108" s="68" t="n">
        <x:v>0</x:v>
      </x:c>
      <x:c r="M108" s="68" t="n">
        <x:v>0</x:v>
      </x:c>
      <x:c r="N108" s="68" t="n">
        <x:v>10800</x:v>
      </x:c>
      <x:c r="O108" s="68" t="n">
        <x:v>10800</x:v>
      </x:c>
      <x:c r="P108" s="68" t="n">
        <x:f>C108*J108</x:f>
        <x:v>612.19354504</x:v>
      </x:c>
      <x:c r="Q108" s="68" t="n">
        <x:f>C108*I108</x:f>
        <x:v>612.19354504</x:v>
      </x:c>
      <x:c r="R108" s="65" t="n">
        <x:f>J108+G108+L108-F108-K108-M108</x:f>
        <x:v>0</x:v>
      </x:c>
      <x:c r="S108" s="65" t="n">
        <x:f>O108-N108-0.9*K108+L108/0.9</x:f>
        <x:v>0</x:v>
      </x:c>
      <x:c r="T108" s="67" t="n">
        <x:f>IF(AND(K108&gt;0.00001,L108&gt;0.00001),1,0)</x:f>
        <x:v>0</x:v>
      </x:c>
      <x:c r="U108" s="74" t="n">
        <x:f>N108/12000</x:f>
        <x:v>0.9</x:v>
      </x:c>
    </x:row>
    <x:row r="109">
      <x:c r="A109" s="49" t="str">
        <x:v>17:10-17:20</x:v>
      </x:c>
      <x:c r="B109" s="67" t="n">
        <x:v>1030</x:v>
      </x:c>
      <x:c r="C109" s="73" t="n">
        <x:v>0.9462</x:v>
      </x:c>
      <x:c r="D109" s="68" t="n">
        <x:v>5467.3939</x:v>
      </x:c>
      <x:c r="E109" s="68" t="n">
        <x:v>1255.1723</x:v>
      </x:c>
      <x:c r="F109" s="68" t="n">
        <x:v>911.2323166666666</x:v>
      </x:c>
      <x:c r="G109" s="68" t="n">
        <x:v>209.19538333333333</x:v>
      </x:c>
      <x:c r="H109" s="68" t="n">
        <x:v>702.0369333333333</x:v>
      </x:c>
      <x:c r="I109" s="68" t="n">
        <x:v>702.0369333333333</x:v>
      </x:c>
      <x:c r="J109" s="68" t="n">
        <x:v>702.0369333333333</x:v>
      </x:c>
      <x:c r="K109" s="68" t="n">
        <x:v>0</x:v>
      </x:c>
      <x:c r="L109" s="68" t="n">
        <x:v>0</x:v>
      </x:c>
      <x:c r="M109" s="68" t="n">
        <x:v>0</x:v>
      </x:c>
      <x:c r="N109" s="68" t="n">
        <x:v>10800</x:v>
      </x:c>
      <x:c r="O109" s="68" t="n">
        <x:v>10800</x:v>
      </x:c>
      <x:c r="P109" s="68" t="n">
        <x:f>C109*J109</x:f>
        <x:v>664.26734632</x:v>
      </x:c>
      <x:c r="Q109" s="68" t="n">
        <x:f>C109*I109</x:f>
        <x:v>664.26734632</x:v>
      </x:c>
      <x:c r="R109" s="65" t="n">
        <x:f>J109+G109+L109-F109-K109-M109</x:f>
        <x:v>0</x:v>
      </x:c>
      <x:c r="S109" s="65" t="n">
        <x:f>O109-N109-0.9*K109+L109/0.9</x:f>
        <x:v>0</x:v>
      </x:c>
      <x:c r="T109" s="67" t="n">
        <x:f>IF(AND(K109&gt;0.00001,L109&gt;0.00001),1,0)</x:f>
        <x:v>0</x:v>
      </x:c>
      <x:c r="U109" s="74" t="n">
        <x:f>N109/12000</x:f>
        <x:v>0.9</x:v>
      </x:c>
    </x:row>
    <x:row r="110">
      <x:c r="A110" s="49" t="str">
        <x:v>17:20-17:30</x:v>
      </x:c>
      <x:c r="B110" s="67" t="n">
        <x:v>1040</x:v>
      </x:c>
      <x:c r="C110" s="73" t="n">
        <x:v>0.9742</x:v>
      </x:c>
      <x:c r="D110" s="68" t="n">
        <x:v>5464.727</x:v>
      </x:c>
      <x:c r="E110" s="68" t="n">
        <x:v>1036.3323</x:v>
      </x:c>
      <x:c r="F110" s="68" t="n">
        <x:v>910.7878333333333</x:v>
      </x:c>
      <x:c r="G110" s="68" t="n">
        <x:v>172.72205</x:v>
      </x:c>
      <x:c r="H110" s="68" t="n">
        <x:v>738.0657833333333</x:v>
      </x:c>
      <x:c r="I110" s="68" t="n">
        <x:v>738.0657833333333</x:v>
      </x:c>
      <x:c r="J110" s="68" t="n">
        <x:v>738.0657833333333</x:v>
      </x:c>
      <x:c r="K110" s="68" t="n">
        <x:v>0</x:v>
      </x:c>
      <x:c r="L110" s="68" t="n">
        <x:v>0</x:v>
      </x:c>
      <x:c r="M110" s="68" t="n">
        <x:v>0</x:v>
      </x:c>
      <x:c r="N110" s="68" t="n">
        <x:v>10800</x:v>
      </x:c>
      <x:c r="O110" s="68" t="n">
        <x:v>10800</x:v>
      </x:c>
      <x:c r="P110" s="68" t="n">
        <x:f>C110*J110</x:f>
        <x:v>719.0236861233333</x:v>
      </x:c>
      <x:c r="Q110" s="68" t="n">
        <x:f>C110*I110</x:f>
        <x:v>719.0236861233333</x:v>
      </x:c>
      <x:c r="R110" s="65" t="n">
        <x:f>J110+G110+L110-F110-K110-M110</x:f>
        <x:v>0</x:v>
      </x:c>
      <x:c r="S110" s="65" t="n">
        <x:f>O110-N110-0.9*K110+L110/0.9</x:f>
        <x:v>0</x:v>
      </x:c>
      <x:c r="T110" s="67" t="n">
        <x:f>IF(AND(K110&gt;0.00001,L110&gt;0.00001),1,0)</x:f>
        <x:v>0</x:v>
      </x:c>
      <x:c r="U110" s="74" t="n">
        <x:f>N110/12000</x:f>
        <x:v>0.9</x:v>
      </x:c>
    </x:row>
    <x:row r="111">
      <x:c r="A111" s="49" t="str">
        <x:v>17:30-17:40</x:v>
      </x:c>
      <x:c r="B111" s="67" t="n">
        <x:v>1050</x:v>
      </x:c>
      <x:c r="C111" s="73" t="n">
        <x:v>0.9862</x:v>
      </x:c>
      <x:c r="D111" s="68" t="n">
        <x:v>5492.4458</x:v>
      </x:c>
      <x:c r="E111" s="68" t="n">
        <x:v>836.7775</x:v>
      </x:c>
      <x:c r="F111" s="68" t="n">
        <x:v>915.4076333333334</x:v>
      </x:c>
      <x:c r="G111" s="68" t="n">
        <x:v>139.46291666666667</x:v>
      </x:c>
      <x:c r="H111" s="68" t="n">
        <x:v>775.9447166666666</x:v>
      </x:c>
      <x:c r="I111" s="68" t="n">
        <x:v>775.9447166666666</x:v>
      </x:c>
      <x:c r="J111" s="68" t="n">
        <x:v>775.9447166666666</x:v>
      </x:c>
      <x:c r="K111" s="68" t="n">
        <x:v>0</x:v>
      </x:c>
      <x:c r="L111" s="68" t="n">
        <x:v>0</x:v>
      </x:c>
      <x:c r="M111" s="68" t="n">
        <x:v>0</x:v>
      </x:c>
      <x:c r="N111" s="68" t="n">
        <x:v>10800</x:v>
      </x:c>
      <x:c r="O111" s="68" t="n">
        <x:v>10800</x:v>
      </x:c>
      <x:c r="P111" s="68" t="n">
        <x:f>C111*J111</x:f>
        <x:v>765.2366795766666</x:v>
      </x:c>
      <x:c r="Q111" s="68" t="n">
        <x:f>C111*I111</x:f>
        <x:v>765.2366795766666</x:v>
      </x:c>
      <x:c r="R111" s="65" t="n">
        <x:f>J111+G111+L111-F111-K111-M111</x:f>
        <x:v>-1.1368683772161603e-13</x:v>
      </x:c>
      <x:c r="S111" s="65" t="n">
        <x:f>O111-N111-0.9*K111+L111/0.9</x:f>
        <x:v>0</x:v>
      </x:c>
      <x:c r="T111" s="67" t="n">
        <x:f>IF(AND(K111&gt;0.00001,L111&gt;0.00001),1,0)</x:f>
        <x:v>0</x:v>
      </x:c>
      <x:c r="U111" s="74" t="n">
        <x:f>N111/12000</x:f>
        <x:v>0.9</x:v>
      </x:c>
    </x:row>
    <x:row r="112">
      <x:c r="A112" s="49" t="str">
        <x:v>17:40-17:50</x:v>
      </x:c>
      <x:c r="B112" s="67" t="n">
        <x:v>1060</x:v>
      </x:c>
      <x:c r="C112" s="73" t="n">
        <x:v>0.976</x:v>
      </x:c>
      <x:c r="D112" s="68" t="n">
        <x:v>5621.7308</x:v>
      </x:c>
      <x:c r="E112" s="68" t="n">
        <x:v>665.2313</x:v>
      </x:c>
      <x:c r="F112" s="68" t="n">
        <x:v>936.9551333333334</x:v>
      </x:c>
      <x:c r="G112" s="68" t="n">
        <x:v>110.87188333333333</x:v>
      </x:c>
      <x:c r="H112" s="68" t="n">
        <x:v>826.08325</x:v>
      </x:c>
      <x:c r="I112" s="68" t="n">
        <x:v>826.08325</x:v>
      </x:c>
      <x:c r="J112" s="68" t="n">
        <x:v>826.08325</x:v>
      </x:c>
      <x:c r="K112" s="68" t="n">
        <x:v>0</x:v>
      </x:c>
      <x:c r="L112" s="68" t="n">
        <x:v>0</x:v>
      </x:c>
      <x:c r="M112" s="68" t="n">
        <x:v>0</x:v>
      </x:c>
      <x:c r="N112" s="68" t="n">
        <x:v>10800</x:v>
      </x:c>
      <x:c r="O112" s="68" t="n">
        <x:v>10800</x:v>
      </x:c>
      <x:c r="P112" s="68" t="n">
        <x:f>C112*J112</x:f>
        <x:v>806.257252</x:v>
      </x:c>
      <x:c r="Q112" s="68" t="n">
        <x:f>C112*I112</x:f>
        <x:v>806.257252</x:v>
      </x:c>
      <x:c r="R112" s="65" t="n">
        <x:f>J112+G112+L112-F112-K112-M112</x:f>
        <x:v>0</x:v>
      </x:c>
      <x:c r="S112" s="65" t="n">
        <x:f>O112-N112-0.9*K112+L112/0.9</x:f>
        <x:v>0</x:v>
      </x:c>
      <x:c r="T112" s="67" t="n">
        <x:f>IF(AND(K112&gt;0.00001,L112&gt;0.00001),1,0)</x:f>
        <x:v>0</x:v>
      </x:c>
      <x:c r="U112" s="74" t="n">
        <x:f>N112/12000</x:f>
        <x:v>0.9</x:v>
      </x:c>
    </x:row>
    <x:row r="113">
      <x:c r="A113" s="49" t="str">
        <x:v>17:50-18:00</x:v>
      </x:c>
      <x:c r="B113" s="67" t="n">
        <x:v>1070</x:v>
      </x:c>
      <x:c r="C113" s="73" t="n">
        <x:v>1.0742</x:v>
      </x:c>
      <x:c r="D113" s="68" t="n">
        <x:v>5091.2126</x:v>
      </x:c>
      <x:c r="E113" s="68" t="n">
        <x:v>516.6758</x:v>
      </x:c>
      <x:c r="F113" s="68" t="n">
        <x:v>848.5354333333332</x:v>
      </x:c>
      <x:c r="G113" s="68" t="n">
        <x:v>86.11263333333332</x:v>
      </x:c>
      <x:c r="H113" s="68" t="n">
        <x:v>762.4227999999999</x:v>
      </x:c>
      <x:c r="I113" s="68" t="n">
        <x:v>762.4227999999999</x:v>
      </x:c>
      <x:c r="J113" s="68" t="n">
        <x:v>762.4227999999999</x:v>
      </x:c>
      <x:c r="K113" s="68" t="n">
        <x:v>0</x:v>
      </x:c>
      <x:c r="L113" s="68" t="n">
        <x:v>0</x:v>
      </x:c>
      <x:c r="M113" s="68" t="n">
        <x:v>0</x:v>
      </x:c>
      <x:c r="N113" s="68" t="n">
        <x:v>10800</x:v>
      </x:c>
      <x:c r="O113" s="68" t="n">
        <x:v>10800</x:v>
      </x:c>
      <x:c r="P113" s="68" t="n">
        <x:f>C113*J113</x:f>
        <x:v>818.99457176</x:v>
      </x:c>
      <x:c r="Q113" s="68" t="n">
        <x:f>C113*I113</x:f>
        <x:v>818.99457176</x:v>
      </x:c>
      <x:c r="R113" s="65" t="n">
        <x:f>J113+G113+L113-F113-K113-M113</x:f>
        <x:v>0</x:v>
      </x:c>
      <x:c r="S113" s="65" t="n">
        <x:f>O113-N113-0.9*K113+L113/0.9</x:f>
        <x:v>0</x:v>
      </x:c>
      <x:c r="T113" s="67" t="n">
        <x:f>IF(AND(K113&gt;0.00001,L113&gt;0.00001),1,0)</x:f>
        <x:v>0</x:v>
      </x:c>
      <x:c r="U113" s="74" t="n">
        <x:f>N113/12000</x:f>
        <x:v>0.9</x:v>
      </x:c>
    </x:row>
    <x:row r="114">
      <x:c r="A114" s="49" t="str">
        <x:v>18:00-18:10</x:v>
      </x:c>
      <x:c r="B114" s="67" t="n">
        <x:v>1080</x:v>
      </x:c>
      <x:c r="C114" s="73" t="n">
        <x:v>1.2313</x:v>
      </x:c>
      <x:c r="D114" s="68" t="n">
        <x:v>4208.5688</x:v>
      </x:c>
      <x:c r="E114" s="68" t="n">
        <x:v>386.6731</x:v>
      </x:c>
      <x:c r="F114" s="68" t="n">
        <x:v>701.4281333333333</x:v>
      </x:c>
      <x:c r="G114" s="68" t="n">
        <x:v>64.44551666666666</x:v>
      </x:c>
      <x:c r="H114" s="68" t="n">
        <x:v>636.9826166666667</x:v>
      </x:c>
      <x:c r="I114" s="68" t="n">
        <x:v>636.9826166666667</x:v>
      </x:c>
      <x:c r="J114" s="68" t="n">
        <x:v>636.9826166666667</x:v>
      </x:c>
      <x:c r="K114" s="68" t="n">
        <x:v>0</x:v>
      </x:c>
      <x:c r="L114" s="68" t="n">
        <x:v>0</x:v>
      </x:c>
      <x:c r="M114" s="68" t="n">
        <x:v>0</x:v>
      </x:c>
      <x:c r="N114" s="68" t="n">
        <x:v>10800</x:v>
      </x:c>
      <x:c r="O114" s="68" t="n">
        <x:v>10800</x:v>
      </x:c>
      <x:c r="P114" s="68" t="n">
        <x:f>C114*J114</x:f>
        <x:v>784.3166959016667</x:v>
      </x:c>
      <x:c r="Q114" s="68" t="n">
        <x:f>C114*I114</x:f>
        <x:v>784.3166959016667</x:v>
      </x:c>
      <x:c r="R114" s="65" t="n">
        <x:f>J114+G114+L114-F114-K114-M114</x:f>
        <x:v>0</x:v>
      </x:c>
      <x:c r="S114" s="65" t="n">
        <x:f>O114-N114-0.9*K114+L114/0.9</x:f>
        <x:v>0</x:v>
      </x:c>
      <x:c r="T114" s="67" t="n">
        <x:f>IF(AND(K114&gt;0.00001,L114&gt;0.00001),1,0)</x:f>
        <x:v>0</x:v>
      </x:c>
      <x:c r="U114" s="74" t="n">
        <x:f>N114/12000</x:f>
        <x:v>0.9</x:v>
      </x:c>
    </x:row>
    <x:row r="115">
      <x:c r="A115" s="49" t="str">
        <x:v>18:10-18:20</x:v>
      </x:c>
      <x:c r="B115" s="67" t="n">
        <x:v>1090</x:v>
      </x:c>
      <x:c r="C115" s="73" t="n">
        <x:v>1.2561</x:v>
      </x:c>
      <x:c r="D115" s="68" t="n">
        <x:v>4122.7611</x:v>
      </x:c>
      <x:c r="E115" s="68" t="n">
        <x:v>275.7933</x:v>
      </x:c>
      <x:c r="F115" s="68" t="n">
        <x:v>687.1268499999999</x:v>
      </x:c>
      <x:c r="G115" s="68" t="n">
        <x:v>45.96554999999999</x:v>
      </x:c>
      <x:c r="H115" s="68" t="n">
        <x:v>641.1612999999999</x:v>
      </x:c>
      <x:c r="I115" s="68" t="n">
        <x:v>641.1612999999999</x:v>
      </x:c>
      <x:c r="J115" s="68" t="n">
        <x:v>531.8940499999999</x:v>
      </x:c>
      <x:c r="K115" s="68" t="n">
        <x:v>0</x:v>
      </x:c>
      <x:c r="L115" s="68" t="n">
        <x:v>109.26725000000005</x:v>
      </x:c>
      <x:c r="M115" s="68" t="n">
        <x:v>0</x:v>
      </x:c>
      <x:c r="N115" s="68" t="n">
        <x:v>10800</x:v>
      </x:c>
      <x:c r="O115" s="68" t="n">
        <x:v>10678.591944444444</x:v>
      </x:c>
      <x:c r="P115" s="68" t="n">
        <x:f>C115*J115</x:f>
        <x:v>668.1121162049999</x:v>
      </x:c>
      <x:c r="Q115" s="68" t="n">
        <x:f>C115*I115</x:f>
        <x:v>805.3627089299998</x:v>
      </x:c>
      <x:c r="R115" s="65" t="n">
        <x:f>J115+G115+L115-F115-K115-M115</x:f>
        <x:v>0</x:v>
      </x:c>
      <x:c r="S115" s="65" t="n">
        <x:f>O115-N115-0.9*K115+L115/0.9</x:f>
        <x:v>-1.4210854715202004e-14</x:v>
      </x:c>
      <x:c r="T115" s="67" t="n">
        <x:f>IF(AND(K115&gt;0.00001,L115&gt;0.00001),1,0)</x:f>
        <x:v>0</x:v>
      </x:c>
      <x:c r="U115" s="74" t="n">
        <x:f>N115/12000</x:f>
        <x:v>0.9</x:v>
      </x:c>
    </x:row>
    <x:row r="116">
      <x:c r="A116" s="49" t="str">
        <x:v>18:20-18:30</x:v>
      </x:c>
      <x:c r="B116" s="67" t="n">
        <x:v>1100</x:v>
      </x:c>
      <x:c r="C116" s="73" t="n">
        <x:v>1.2447</x:v>
      </x:c>
      <x:c r="D116" s="68" t="n">
        <x:v>4255.9358</x:v>
      </x:c>
      <x:c r="E116" s="68" t="n">
        <x:v>182.9526</x:v>
      </x:c>
      <x:c r="F116" s="68" t="n">
        <x:v>709.3226333333333</x:v>
      </x:c>
      <x:c r="G116" s="68" t="n">
        <x:v>30.492099999999997</x:v>
      </x:c>
      <x:c r="H116" s="68" t="n">
        <x:v>678.8305333333333</x:v>
      </x:c>
      <x:c r="I116" s="68" t="n">
        <x:v>678.8305333333333</x:v>
      </x:c>
      <x:c r="J116" s="68" t="n">
        <x:v>678.8305333333333</x:v>
      </x:c>
      <x:c r="K116" s="68" t="n">
        <x:v>0</x:v>
      </x:c>
      <x:c r="L116" s="68" t="n">
        <x:v>0</x:v>
      </x:c>
      <x:c r="M116" s="68" t="n">
        <x:v>0</x:v>
      </x:c>
      <x:c r="N116" s="68" t="n">
        <x:v>10678.591944444444</x:v>
      </x:c>
      <x:c r="O116" s="68" t="n">
        <x:v>10678.591944444444</x:v>
      </x:c>
      <x:c r="P116" s="68" t="n">
        <x:f>C116*J116</x:f>
        <x:v>844.9403648399999</x:v>
      </x:c>
      <x:c r="Q116" s="68" t="n">
        <x:f>C116*I116</x:f>
        <x:v>844.9403648399999</x:v>
      </x:c>
      <x:c r="R116" s="65" t="n">
        <x:f>J116+G116+L116-F116-K116-M116</x:f>
        <x:v>0</x:v>
      </x:c>
      <x:c r="S116" s="65" t="n">
        <x:f>O116-N116-0.9*K116+L116/0.9</x:f>
        <x:v>0</x:v>
      </x:c>
      <x:c r="T116" s="67" t="n">
        <x:f>IF(AND(K116&gt;0.00001,L116&gt;0.00001),1,0)</x:f>
        <x:v>0</x:v>
      </x:c>
      <x:c r="U116" s="74" t="n">
        <x:f>N116/12000</x:f>
        <x:v>0.889882662037037</x:v>
      </x:c>
    </x:row>
    <x:row r="117">
      <x:c r="A117" s="49" t="str">
        <x:v>18:30-18:40</x:v>
      </x:c>
      <x:c r="B117" s="67" t="n">
        <x:v>1110</x:v>
      </x:c>
      <x:c r="C117" s="73" t="n">
        <x:v>1.2545</x:v>
      </x:c>
      <x:c r="D117" s="68" t="n">
        <x:v>4225.9524</x:v>
      </x:c>
      <x:c r="E117" s="68" t="n">
        <x:v>108.3414</x:v>
      </x:c>
      <x:c r="F117" s="68" t="n">
        <x:v>704.3254</x:v>
      </x:c>
      <x:c r="G117" s="68" t="n">
        <x:v>18.0569</x:v>
      </x:c>
      <x:c r="H117" s="68" t="n">
        <x:v>686.2684999999999</x:v>
      </x:c>
      <x:c r="I117" s="68" t="n">
        <x:v>686.2684999999999</x:v>
      </x:c>
      <x:c r="J117" s="68" t="n">
        <x:v>686.2684999999999</x:v>
      </x:c>
      <x:c r="K117" s="68" t="n">
        <x:v>0</x:v>
      </x:c>
      <x:c r="L117" s="68" t="n">
        <x:v>0</x:v>
      </x:c>
      <x:c r="M117" s="68" t="n">
        <x:v>0</x:v>
      </x:c>
      <x:c r="N117" s="68" t="n">
        <x:v>10678.591944444444</x:v>
      </x:c>
      <x:c r="O117" s="68" t="n">
        <x:v>10678.591944444444</x:v>
      </x:c>
      <x:c r="P117" s="68" t="n">
        <x:f>C117*J117</x:f>
        <x:v>860.9238332499998</x:v>
      </x:c>
      <x:c r="Q117" s="68" t="n">
        <x:f>C117*I117</x:f>
        <x:v>860.9238332499998</x:v>
      </x:c>
      <x:c r="R117" s="65" t="n">
        <x:f>J117+G117+L117-F117-K117-M117</x:f>
        <x:v>0</x:v>
      </x:c>
      <x:c r="S117" s="65" t="n">
        <x:f>O117-N117-0.9*K117+L117/0.9</x:f>
        <x:v>0</x:v>
      </x:c>
      <x:c r="T117" s="67" t="n">
        <x:f>IF(AND(K117&gt;0.00001,L117&gt;0.00001),1,0)</x:f>
        <x:v>0</x:v>
      </x:c>
      <x:c r="U117" s="74" t="n">
        <x:f>N117/12000</x:f>
        <x:v>0.889882662037037</x:v>
      </x:c>
    </x:row>
    <x:row r="118">
      <x:c r="A118" s="49" t="str">
        <x:v>18:40-18:50</x:v>
      </x:c>
      <x:c r="B118" s="67" t="n">
        <x:v>1120</x:v>
      </x:c>
      <x:c r="C118" s="73" t="n">
        <x:v>1.2522</x:v>
      </x:c>
      <x:c r="D118" s="68" t="n">
        <x:v>4233.3384</x:v>
      </x:c>
      <x:c r="E118" s="68" t="n">
        <x:v>54.3121</x:v>
      </x:c>
      <x:c r="F118" s="68" t="n">
        <x:v>705.5563999999999</x:v>
      </x:c>
      <x:c r="G118" s="68" t="n">
        <x:v>9.052016666666667</x:v>
      </x:c>
      <x:c r="H118" s="68" t="n">
        <x:v>696.5043833333333</x:v>
      </x:c>
      <x:c r="I118" s="68" t="n">
        <x:v>696.5043833333333</x:v>
      </x:c>
      <x:c r="J118" s="68" t="n">
        <x:v>696.5043833333333</x:v>
      </x:c>
      <x:c r="K118" s="68" t="n">
        <x:v>0</x:v>
      </x:c>
      <x:c r="L118" s="68" t="n">
        <x:v>0</x:v>
      </x:c>
      <x:c r="M118" s="68" t="n">
        <x:v>0</x:v>
      </x:c>
      <x:c r="N118" s="68" t="n">
        <x:v>10678.591944444444</x:v>
      </x:c>
      <x:c r="O118" s="68" t="n">
        <x:v>10678.591944444444</x:v>
      </x:c>
      <x:c r="P118" s="68" t="n">
        <x:f>C118*J118</x:f>
        <x:v>872.1627888099999</x:v>
      </x:c>
      <x:c r="Q118" s="68" t="n">
        <x:f>C118*I118</x:f>
        <x:v>872.1627888099999</x:v>
      </x:c>
      <x:c r="R118" s="65" t="n">
        <x:f>J118+G118+L118-F118-K118-M118</x:f>
        <x:v>0</x:v>
      </x:c>
      <x:c r="S118" s="65" t="n">
        <x:f>O118-N118-0.9*K118+L118/0.9</x:f>
        <x:v>0</x:v>
      </x:c>
      <x:c r="T118" s="67" t="n">
        <x:f>IF(AND(K118&gt;0.00001,L118&gt;0.00001),1,0)</x:f>
        <x:v>0</x:v>
      </x:c>
      <x:c r="U118" s="74" t="n">
        <x:f>N118/12000</x:f>
        <x:v>0.889882662037037</x:v>
      </x:c>
    </x:row>
    <x:row r="119">
      <x:c r="A119" s="49" t="str">
        <x:v>18:50-19:00</x:v>
      </x:c>
      <x:c r="B119" s="67" t="n">
        <x:v>1130</x:v>
      </x:c>
      <x:c r="C119" s="73" t="n">
        <x:v>1.2881</x:v>
      </x:c>
      <x:c r="D119" s="68" t="n">
        <x:v>4246.4625</x:v>
      </x:c>
      <x:c r="E119" s="68" t="n">
        <x:v>18.6569</x:v>
      </x:c>
      <x:c r="F119" s="68" t="n">
        <x:v>707.7437499999999</x:v>
      </x:c>
      <x:c r="G119" s="68" t="n">
        <x:v>3.1094833333333334</x:v>
      </x:c>
      <x:c r="H119" s="68" t="n">
        <x:v>704.6342666666666</x:v>
      </x:c>
      <x:c r="I119" s="68" t="n">
        <x:v>704.6342666666666</x:v>
      </x:c>
      <x:c r="J119" s="68" t="n">
        <x:v>0</x:v>
      </x:c>
      <x:c r="K119" s="68" t="n">
        <x:v>0</x:v>
      </x:c>
      <x:c r="L119" s="68" t="n">
        <x:v>704.6342666666666</x:v>
      </x:c>
      <x:c r="M119" s="68" t="n">
        <x:v>0</x:v>
      </x:c>
      <x:c r="N119" s="68" t="n">
        <x:v>10678.591944444444</x:v>
      </x:c>
      <x:c r="O119" s="68" t="n">
        <x:v>9895.664981481481</x:v>
      </x:c>
      <x:c r="P119" s="68" t="n">
        <x:f>C119*J119</x:f>
        <x:v>0</x:v>
      </x:c>
      <x:c r="Q119" s="68" t="n">
        <x:f>C119*I119</x:f>
        <x:v>907.6393988933332</x:v>
      </x:c>
      <x:c r="R119" s="65" t="n">
        <x:f>J119+G119+L119-F119-K119-M119</x:f>
        <x:v>0</x:v>
      </x:c>
      <x:c r="S119" s="65" t="n">
        <x:f>O119-N119-0.9*K119+L119/0.9</x:f>
        <x:v>-5.684341886080801e-13</x:v>
      </x:c>
      <x:c r="T119" s="67" t="n">
        <x:f>IF(AND(K119&gt;0.00001,L119&gt;0.00001),1,0)</x:f>
        <x:v>0</x:v>
      </x:c>
      <x:c r="U119" s="74" t="n">
        <x:f>N119/12000</x:f>
        <x:v>0.889882662037037</x:v>
      </x:c>
    </x:row>
    <x:row r="120">
      <x:c r="A120" s="49" t="str">
        <x:v>19:00-19:10</x:v>
      </x:c>
      <x:c r="B120" s="67" t="n">
        <x:v>1140</x:v>
      </x:c>
      <x:c r="C120" s="73" t="n">
        <x:v>1.3466</x:v>
      </x:c>
      <x:c r="D120" s="68" t="n">
        <x:v>4239.1795</x:v>
      </x:c>
      <x:c r="E120" s="68" t="n">
        <x:v>0.2753</x:v>
      </x:c>
      <x:c r="F120" s="68" t="n">
        <x:v>706.5299166666666</x:v>
      </x:c>
      <x:c r="G120" s="68" t="n">
        <x:v>0.04588333333333333</x:v>
      </x:c>
      <x:c r="H120" s="68" t="n">
        <x:v>706.4840333333333</x:v>
      </x:c>
      <x:c r="I120" s="68" t="n">
        <x:v>706.4840333333333</x:v>
      </x:c>
      <x:c r="J120" s="68" t="n">
        <x:v>0</x:v>
      </x:c>
      <x:c r="K120" s="68" t="n">
        <x:v>0</x:v>
      </x:c>
      <x:c r="L120" s="68" t="n">
        <x:v>706.4840333333333</x:v>
      </x:c>
      <x:c r="M120" s="68" t="n">
        <x:v>0</x:v>
      </x:c>
      <x:c r="N120" s="68" t="n">
        <x:v>9895.664981481481</x:v>
      </x:c>
      <x:c r="O120" s="68" t="n">
        <x:v>9110.682722222222</x:v>
      </x:c>
      <x:c r="P120" s="68" t="n">
        <x:f>C120*J120</x:f>
        <x:v>0</x:v>
      </x:c>
      <x:c r="Q120" s="68" t="n">
        <x:f>C120*I120</x:f>
        <x:v>951.3513992866666</x:v>
      </x:c>
      <x:c r="R120" s="65" t="n">
        <x:f>J120+G120+L120-F120-K120-M120</x:f>
        <x:v>0</x:v>
      </x:c>
      <x:c r="S120" s="65" t="n">
        <x:f>O120-N120-0.9*K120+L120/0.9</x:f>
        <x:v>1.1368683772161603e-13</x:v>
      </x:c>
      <x:c r="T120" s="67" t="n">
        <x:f>IF(AND(K120&gt;0.00001,L120&gt;0.00001),1,0)</x:f>
        <x:v>0</x:v>
      </x:c>
      <x:c r="U120" s="74" t="n">
        <x:f>N120/12000</x:f>
        <x:v>0.8246387484567901</x:v>
      </x:c>
    </x:row>
    <x:row r="121">
      <x:c r="A121" s="49" t="str">
        <x:v>19:10-19:20</x:v>
      </x:c>
      <x:c r="B121" s="67" t="n">
        <x:v>1150</x:v>
      </x:c>
      <x:c r="C121" s="73" t="n">
        <x:v>1.3523</x:v>
      </x:c>
      <x:c r="D121" s="68" t="n">
        <x:v>4244.6684</x:v>
      </x:c>
      <x:c r="E121" s="68" t="n">
        <x:v>0.2296</x:v>
      </x:c>
      <x:c r="F121" s="68" t="n">
        <x:v>707.4447333333333</x:v>
      </x:c>
      <x:c r="G121" s="68" t="n">
        <x:v>0.038266666666666664</x:v>
      </x:c>
      <x:c r="H121" s="68" t="n">
        <x:v>707.4064666666666</x:v>
      </x:c>
      <x:c r="I121" s="68" t="n">
        <x:v>707.4064666666666</x:v>
      </x:c>
      <x:c r="J121" s="68" t="n">
        <x:v>0</x:v>
      </x:c>
      <x:c r="K121" s="68" t="n">
        <x:v>0</x:v>
      </x:c>
      <x:c r="L121" s="68" t="n">
        <x:v>707.4064666666666</x:v>
      </x:c>
      <x:c r="M121" s="68" t="n">
        <x:v>0</x:v>
      </x:c>
      <x:c r="N121" s="68" t="n">
        <x:v>9110.682722222222</x:v>
      </x:c>
      <x:c r="O121" s="68" t="n">
        <x:v>8324.675537037037</x:v>
      </x:c>
      <x:c r="P121" s="68" t="n">
        <x:f>C121*J121</x:f>
        <x:v>0</x:v>
      </x:c>
      <x:c r="Q121" s="68" t="n">
        <x:f>C121*I121</x:f>
        <x:v>956.6257648733332</x:v>
      </x:c>
      <x:c r="R121" s="65" t="n">
        <x:f>J121+G121+L121-F121-K121-M121</x:f>
        <x:v>0</x:v>
      </x:c>
      <x:c r="S121" s="65" t="n">
        <x:f>O121-N121-0.9*K121+L121/0.9</x:f>
        <x:v>6.821210263296962e-13</x:v>
      </x:c>
      <x:c r="T121" s="67" t="n">
        <x:f>IF(AND(K121&gt;0.00001,L121&gt;0.00001),1,0)</x:f>
        <x:v>0</x:v>
      </x:c>
      <x:c r="U121" s="74" t="n">
        <x:f>N121/12000</x:f>
        <x:v>0.7592235601851851</x:v>
      </x:c>
    </x:row>
    <x:row r="122">
      <x:c r="A122" s="49" t="str">
        <x:v>19:20-19:30</x:v>
      </x:c>
      <x:c r="B122" s="67" t="n">
        <x:v>1160</x:v>
      </x:c>
      <x:c r="C122" s="73" t="n">
        <x:v>1.3445</x:v>
      </x:c>
      <x:c r="D122" s="68" t="n">
        <x:v>4251.9187</x:v>
      </x:c>
      <x:c r="E122" s="68" t="n">
        <x:v>0.6007</x:v>
      </x:c>
      <x:c r="F122" s="68" t="n">
        <x:v>708.6531166666666</x:v>
      </x:c>
      <x:c r="G122" s="68" t="n">
        <x:v>0.10011666666666666</x:v>
      </x:c>
      <x:c r="H122" s="68" t="n">
        <x:v>708.553</x:v>
      </x:c>
      <x:c r="I122" s="68" t="n">
        <x:v>708.553</x:v>
      </x:c>
      <x:c r="J122" s="68" t="n">
        <x:v>0</x:v>
      </x:c>
      <x:c r="K122" s="68" t="n">
        <x:v>0</x:v>
      </x:c>
      <x:c r="L122" s="68" t="n">
        <x:v>708.553</x:v>
      </x:c>
      <x:c r="M122" s="68" t="n">
        <x:v>0</x:v>
      </x:c>
      <x:c r="N122" s="68" t="n">
        <x:v>8324.675537037037</x:v>
      </x:c>
      <x:c r="O122" s="68" t="n">
        <x:v>7537.394425925927</x:v>
      </x:c>
      <x:c r="P122" s="68" t="n">
        <x:f>C122*J122</x:f>
        <x:v>0</x:v>
      </x:c>
      <x:c r="Q122" s="68" t="n">
        <x:f>C122*I122</x:f>
        <x:v>952.6495085</x:v>
      </x:c>
      <x:c r="R122" s="65" t="n">
        <x:f>J122+G122+L122-F122-K122-M122</x:f>
        <x:v>0</x:v>
      </x:c>
      <x:c r="S122" s="65" t="n">
        <x:f>O122-N122-0.9*K122+L122/0.9</x:f>
        <x:v>5.684341886080801e-13</x:v>
      </x:c>
      <x:c r="T122" s="67" t="n">
        <x:f>IF(AND(K122&gt;0.00001,L122&gt;0.00001),1,0)</x:f>
        <x:v>0</x:v>
      </x:c>
      <x:c r="U122" s="74" t="n">
        <x:f>N122/12000</x:f>
        <x:v>0.6937229614197531</x:v>
      </x:c>
    </x:row>
    <x:row r="123">
      <x:c r="A123" s="49" t="str">
        <x:v>19:30-19:40</x:v>
      </x:c>
      <x:c r="B123" s="67" t="n">
        <x:v>1170</x:v>
      </x:c>
      <x:c r="C123" s="73" t="n">
        <x:v>1.3483</x:v>
      </x:c>
      <x:c r="D123" s="68" t="n">
        <x:v>4256.6813</x:v>
      </x:c>
      <x:c r="E123" s="68" t="n">
        <x:v>0</x:v>
      </x:c>
      <x:c r="F123" s="68" t="n">
        <x:v>709.4468833333333</x:v>
      </x:c>
      <x:c r="G123" s="68" t="n">
        <x:v>0</x:v>
      </x:c>
      <x:c r="H123" s="68" t="n">
        <x:v>709.4468833333333</x:v>
      </x:c>
      <x:c r="I123" s="68" t="n">
        <x:v>709.4468833333333</x:v>
      </x:c>
      <x:c r="J123" s="68" t="n">
        <x:v>0</x:v>
      </x:c>
      <x:c r="K123" s="68" t="n">
        <x:v>0</x:v>
      </x:c>
      <x:c r="L123" s="68" t="n">
        <x:v>709.4468833333333</x:v>
      </x:c>
      <x:c r="M123" s="68" t="n">
        <x:v>0</x:v>
      </x:c>
      <x:c r="N123" s="68" t="n">
        <x:v>7537.394425925927</x:v>
      </x:c>
      <x:c r="O123" s="68" t="n">
        <x:v>6749.120111111112</x:v>
      </x:c>
      <x:c r="P123" s="68" t="n">
        <x:f>C123*J123</x:f>
        <x:v>0</x:v>
      </x:c>
      <x:c r="Q123" s="68" t="n">
        <x:f>C123*I123</x:f>
        <x:v>956.5472327983333</x:v>
      </x:c>
      <x:c r="R123" s="65" t="n">
        <x:f>J123+G123+L123-F123-K123-M123</x:f>
        <x:v>0</x:v>
      </x:c>
      <x:c r="S123" s="65" t="n">
        <x:f>O123-N123-0.9*K123+L123/0.9</x:f>
        <x:v>0</x:v>
      </x:c>
      <x:c r="T123" s="67" t="n">
        <x:f>IF(AND(K123&gt;0.00001,L123&gt;0.00001),1,0)</x:f>
        <x:v>0</x:v>
      </x:c>
      <x:c r="U123" s="74" t="n">
        <x:f>N123/12000</x:f>
        <x:v>0.6281162021604939</x:v>
      </x:c>
    </x:row>
    <x:row r="124">
      <x:c r="A124" s="49" t="str">
        <x:v>19:40-19:50</x:v>
      </x:c>
      <x:c r="B124" s="67" t="n">
        <x:v>1180</x:v>
      </x:c>
      <x:c r="C124" s="73" t="n">
        <x:v>1.349</x:v>
      </x:c>
      <x:c r="D124" s="68" t="n">
        <x:v>4267.3947</x:v>
      </x:c>
      <x:c r="E124" s="68" t="n">
        <x:v>0</x:v>
      </x:c>
      <x:c r="F124" s="68" t="n">
        <x:v>711.23245</x:v>
      </x:c>
      <x:c r="G124" s="68" t="n">
        <x:v>0</x:v>
      </x:c>
      <x:c r="H124" s="68" t="n">
        <x:v>711.23245</x:v>
      </x:c>
      <x:c r="I124" s="68" t="n">
        <x:v>711.23245</x:v>
      </x:c>
      <x:c r="J124" s="68" t="n">
        <x:v>0</x:v>
      </x:c>
      <x:c r="K124" s="68" t="n">
        <x:v>0</x:v>
      </x:c>
      <x:c r="L124" s="68" t="n">
        <x:v>711.23245</x:v>
      </x:c>
      <x:c r="M124" s="68" t="n">
        <x:v>0</x:v>
      </x:c>
      <x:c r="N124" s="68" t="n">
        <x:v>6749.120111111112</x:v>
      </x:c>
      <x:c r="O124" s="68" t="n">
        <x:v>5958.861833333334</x:v>
      </x:c>
      <x:c r="P124" s="68" t="n">
        <x:f>C124*J124</x:f>
        <x:v>0</x:v>
      </x:c>
      <x:c r="Q124" s="68" t="n">
        <x:f>C124*I124</x:f>
        <x:v>959.45257505</x:v>
      </x:c>
      <x:c r="R124" s="65" t="n">
        <x:f>J124+G124+L124-F124-K124-M124</x:f>
        <x:v>0</x:v>
      </x:c>
      <x:c r="S124" s="65" t="n">
        <x:f>O124-N124-0.9*K124+L124/0.9</x:f>
        <x:v>-2.2737367544323206e-13</x:v>
      </x:c>
      <x:c r="T124" s="67" t="n">
        <x:f>IF(AND(K124&gt;0.00001,L124&gt;0.00001),1,0)</x:f>
        <x:v>0</x:v>
      </x:c>
      <x:c r="U124" s="74" t="n">
        <x:f>N124/12000</x:f>
        <x:v>0.562426675925926</x:v>
      </x:c>
    </x:row>
    <x:row r="125">
      <x:c r="A125" s="49" t="str">
        <x:v>19:50-20:00</x:v>
      </x:c>
      <x:c r="B125" s="67" t="n">
        <x:v>1190</x:v>
      </x:c>
      <x:c r="C125" s="73" t="n">
        <x:v>1.3473</x:v>
      </x:c>
      <x:c r="D125" s="68" t="n">
        <x:v>4269.975</x:v>
      </x:c>
      <x:c r="E125" s="68" t="n">
        <x:v>0</x:v>
      </x:c>
      <x:c r="F125" s="68" t="n">
        <x:v>711.6625</x:v>
      </x:c>
      <x:c r="G125" s="68" t="n">
        <x:v>0</x:v>
      </x:c>
      <x:c r="H125" s="68" t="n">
        <x:v>711.6625</x:v>
      </x:c>
      <x:c r="I125" s="68" t="n">
        <x:v>711.6625</x:v>
      </x:c>
      <x:c r="J125" s="68" t="n">
        <x:v>0</x:v>
      </x:c>
      <x:c r="K125" s="68" t="n">
        <x:v>0</x:v>
      </x:c>
      <x:c r="L125" s="68" t="n">
        <x:v>711.6625</x:v>
      </x:c>
      <x:c r="M125" s="68" t="n">
        <x:v>0</x:v>
      </x:c>
      <x:c r="N125" s="68" t="n">
        <x:v>5958.861833333334</x:v>
      </x:c>
      <x:c r="O125" s="68" t="n">
        <x:v>5168.125722222223</x:v>
      </x:c>
      <x:c r="P125" s="68" t="n">
        <x:f>C125*J125</x:f>
        <x:v>0</x:v>
      </x:c>
      <x:c r="Q125" s="68" t="n">
        <x:f>C125*I125</x:f>
        <x:v>958.82288625</x:v>
      </x:c>
      <x:c r="R125" s="65" t="n">
        <x:f>J125+G125+L125-F125-K125-M125</x:f>
        <x:v>0</x:v>
      </x:c>
      <x:c r="S125" s="65" t="n">
        <x:f>O125-N125-0.9*K125+L125/0.9</x:f>
        <x:v>-2.2737367544323206e-13</x:v>
      </x:c>
      <x:c r="T125" s="67" t="n">
        <x:f>IF(AND(K125&gt;0.00001,L125&gt;0.00001),1,0)</x:f>
        <x:v>0</x:v>
      </x:c>
      <x:c r="U125" s="74" t="n">
        <x:f>N125/12000</x:f>
        <x:v>0.4965718194444445</x:v>
      </x:c>
    </x:row>
    <x:row r="126">
      <x:c r="A126" s="49" t="str">
        <x:v>20:00-20:10</x:v>
      </x:c>
      <x:c r="B126" s="67" t="n">
        <x:v>1200</x:v>
      </x:c>
      <x:c r="C126" s="73" t="n">
        <x:v>1.3482</x:v>
      </x:c>
      <x:c r="D126" s="68" t="n">
        <x:v>4268.6702</x:v>
      </x:c>
      <x:c r="E126" s="68" t="n">
        <x:v>0</x:v>
      </x:c>
      <x:c r="F126" s="68" t="n">
        <x:v>711.4450333333332</x:v>
      </x:c>
      <x:c r="G126" s="68" t="n">
        <x:v>0</x:v>
      </x:c>
      <x:c r="H126" s="68" t="n">
        <x:v>711.4450333333332</x:v>
      </x:c>
      <x:c r="I126" s="68" t="n">
        <x:v>711.4450333333332</x:v>
      </x:c>
      <x:c r="J126" s="68" t="n">
        <x:v>0</x:v>
      </x:c>
      <x:c r="K126" s="68" t="n">
        <x:v>0</x:v>
      </x:c>
      <x:c r="L126" s="68" t="n">
        <x:v>711.4450333333332</x:v>
      </x:c>
      <x:c r="M126" s="68" t="n">
        <x:v>0</x:v>
      </x:c>
      <x:c r="N126" s="68" t="n">
        <x:v>5168.125722222223</x:v>
      </x:c>
      <x:c r="O126" s="68" t="n">
        <x:v>4377.631240740741</x:v>
      </x:c>
      <x:c r="P126" s="68" t="n">
        <x:f>C126*J126</x:f>
        <x:v>0</x:v>
      </x:c>
      <x:c r="Q126" s="68" t="n">
        <x:f>C126*I126</x:f>
        <x:v>959.1701939399999</x:v>
      </x:c>
      <x:c r="R126" s="65" t="n">
        <x:f>J126+G126+L126-F126-K126-M126</x:f>
        <x:v>0</x:v>
      </x:c>
      <x:c r="S126" s="65" t="n">
        <x:f>O126-N126-0.9*K126+L126/0.9</x:f>
        <x:v>-3.410605131648481e-13</x:v>
      </x:c>
      <x:c r="T126" s="67" t="n">
        <x:f>IF(AND(K126&gt;0.00001,L126&gt;0.00001),1,0)</x:f>
        <x:v>0</x:v>
      </x:c>
      <x:c r="U126" s="74" t="n">
        <x:f>N126/12000</x:f>
        <x:v>0.4306771435185186</x:v>
      </x:c>
    </x:row>
    <x:row r="127">
      <x:c r="A127" s="49" t="str">
        <x:v>20:10-20:20</x:v>
      </x:c>
      <x:c r="B127" s="67" t="n">
        <x:v>1210</x:v>
      </x:c>
      <x:c r="C127" s="73" t="n">
        <x:v>1.3513</x:v>
      </x:c>
      <x:c r="D127" s="68" t="n">
        <x:v>4282.2245</x:v>
      </x:c>
      <x:c r="E127" s="68" t="n">
        <x:v>0</x:v>
      </x:c>
      <x:c r="F127" s="68" t="n">
        <x:v>713.7040833333333</x:v>
      </x:c>
      <x:c r="G127" s="68" t="n">
        <x:v>0</x:v>
      </x:c>
      <x:c r="H127" s="68" t="n">
        <x:v>713.7040833333333</x:v>
      </x:c>
      <x:c r="I127" s="68" t="n">
        <x:v>713.7040833333333</x:v>
      </x:c>
      <x:c r="J127" s="68" t="n">
        <x:v>0</x:v>
      </x:c>
      <x:c r="K127" s="68" t="n">
        <x:v>0</x:v>
      </x:c>
      <x:c r="L127" s="68" t="n">
        <x:v>713.7040833333333</x:v>
      </x:c>
      <x:c r="M127" s="68" t="n">
        <x:v>0</x:v>
      </x:c>
      <x:c r="N127" s="68" t="n">
        <x:v>4377.631240740741</x:v>
      </x:c>
      <x:c r="O127" s="68" t="n">
        <x:v>3584.626703703704</x:v>
      </x:c>
      <x:c r="P127" s="68" t="n">
        <x:f>C127*J127</x:f>
        <x:v>0</x:v>
      </x:c>
      <x:c r="Q127" s="68" t="n">
        <x:f>C127*I127</x:f>
        <x:v>964.4283278083333</x:v>
      </x:c>
      <x:c r="R127" s="65" t="n">
        <x:f>J127+G127+L127-F127-K127-M127</x:f>
        <x:v>0</x:v>
      </x:c>
      <x:c r="S127" s="65" t="n">
        <x:f>O127-N127-0.9*K127+L127/0.9</x:f>
        <x:v>-2.2737367544323206e-13</x:v>
      </x:c>
      <x:c r="T127" s="67" t="n">
        <x:f>IF(AND(K127&gt;0.00001,L127&gt;0.00001),1,0)</x:f>
        <x:v>0</x:v>
      </x:c>
      <x:c r="U127" s="74" t="n">
        <x:f>N127/12000</x:f>
        <x:v>0.36480260339506176</x:v>
      </x:c>
    </x:row>
    <x:row r="128">
      <x:c r="A128" s="49" t="str">
        <x:v>20:20-20:30</x:v>
      </x:c>
      <x:c r="B128" s="67" t="n">
        <x:v>1220</x:v>
      </x:c>
      <x:c r="C128" s="73" t="n">
        <x:v>1.34</x:v>
      </x:c>
      <x:c r="D128" s="68" t="n">
        <x:v>4291.7049</x:v>
      </x:c>
      <x:c r="E128" s="68" t="n">
        <x:v>0</x:v>
      </x:c>
      <x:c r="F128" s="68" t="n">
        <x:v>715.28415</x:v>
      </x:c>
      <x:c r="G128" s="68" t="n">
        <x:v>0</x:v>
      </x:c>
      <x:c r="H128" s="68" t="n">
        <x:v>715.28415</x:v>
      </x:c>
      <x:c r="I128" s="68" t="n">
        <x:v>715.28415</x:v>
      </x:c>
      <x:c r="J128" s="68" t="n">
        <x:v>0</x:v>
      </x:c>
      <x:c r="K128" s="68" t="n">
        <x:v>0</x:v>
      </x:c>
      <x:c r="L128" s="68" t="n">
        <x:v>715.28415</x:v>
      </x:c>
      <x:c r="M128" s="68" t="n">
        <x:v>0</x:v>
      </x:c>
      <x:c r="N128" s="68" t="n">
        <x:v>3584.626703703704</x:v>
      </x:c>
      <x:c r="O128" s="68" t="n">
        <x:v>2789.8665370370372</x:v>
      </x:c>
      <x:c r="P128" s="68" t="n">
        <x:f>C128*J128</x:f>
        <x:v>0</x:v>
      </x:c>
      <x:c r="Q128" s="68" t="n">
        <x:f>C128*I128</x:f>
        <x:v>958.480761</x:v>
      </x:c>
      <x:c r="R128" s="65" t="n">
        <x:f>J128+G128+L128-F128-K128-M128</x:f>
        <x:v>0</x:v>
      </x:c>
      <x:c r="S128" s="65" t="n">
        <x:f>O128-N128-0.9*K128+L128/0.9</x:f>
        <x:v>-3.410605131648481e-13</x:v>
      </x:c>
      <x:c r="T128" s="67" t="n">
        <x:f>IF(AND(K128&gt;0.00001,L128&gt;0.00001),1,0)</x:f>
        <x:v>0</x:v>
      </x:c>
      <x:c r="U128" s="74" t="n">
        <x:f>N128/12000</x:f>
        <x:v>0.29871889197530865</x:v>
      </x:c>
    </x:row>
    <x:row r="129">
      <x:c r="A129" s="49" t="str">
        <x:v>20:30-20:40</x:v>
      </x:c>
      <x:c r="B129" s="67" t="n">
        <x:v>1230</x:v>
      </x:c>
      <x:c r="C129" s="73" t="n">
        <x:v>1.3489</x:v>
      </x:c>
      <x:c r="D129" s="68" t="n">
        <x:v>4291.3611</x:v>
      </x:c>
      <x:c r="E129" s="68" t="n">
        <x:v>0</x:v>
      </x:c>
      <x:c r="F129" s="68" t="n">
        <x:v>715.22685</x:v>
      </x:c>
      <x:c r="G129" s="68" t="n">
        <x:v>0</x:v>
      </x:c>
      <x:c r="H129" s="68" t="n">
        <x:v>715.22685</x:v>
      </x:c>
      <x:c r="I129" s="68" t="n">
        <x:v>715.22685</x:v>
      </x:c>
      <x:c r="J129" s="68" t="n">
        <x:v>0</x:v>
      </x:c>
      <x:c r="K129" s="68" t="n">
        <x:v>0</x:v>
      </x:c>
      <x:c r="L129" s="68" t="n">
        <x:v>715.22685</x:v>
      </x:c>
      <x:c r="M129" s="68" t="n">
        <x:v>0</x:v>
      </x:c>
      <x:c r="N129" s="68" t="n">
        <x:v>2789.8665370370372</x:v>
      </x:c>
      <x:c r="O129" s="68" t="n">
        <x:v>1995.170037037037</x:v>
      </x:c>
      <x:c r="P129" s="68" t="n">
        <x:f>C129*J129</x:f>
        <x:v>0</x:v>
      </x:c>
      <x:c r="Q129" s="68" t="n">
        <x:f>C129*I129</x:f>
        <x:v>964.769497965</x:v>
      </x:c>
      <x:c r="R129" s="65" t="n">
        <x:f>J129+G129+L129-F129-K129-M129</x:f>
        <x:v>0</x:v>
      </x:c>
      <x:c r="S129" s="65" t="n">
        <x:f>O129-N129-0.9*K129+L129/0.9</x:f>
        <x:v>-2.2737367544323206e-13</x:v>
      </x:c>
      <x:c r="T129" s="67" t="n">
        <x:f>IF(AND(K129&gt;0.00001,L129&gt;0.00001),1,0)</x:f>
        <x:v>0</x:v>
      </x:c>
      <x:c r="U129" s="74" t="n">
        <x:f>N129/12000</x:f>
        <x:v>0.23248887808641977</x:v>
      </x:c>
    </x:row>
    <x:row r="130">
      <x:c r="A130" s="49" t="str">
        <x:v>20:40-20:50</x:v>
      </x:c>
      <x:c r="B130" s="67" t="n">
        <x:v>1240</x:v>
      </x:c>
      <x:c r="C130" s="73" t="n">
        <x:v>1.3952</x:v>
      </x:c>
      <x:c r="D130" s="68" t="n">
        <x:v>4293.9182</x:v>
      </x:c>
      <x:c r="E130" s="68" t="n">
        <x:v>0</x:v>
      </x:c>
      <x:c r="F130" s="68" t="n">
        <x:v>715.6530333333333</x:v>
      </x:c>
      <x:c r="G130" s="68" t="n">
        <x:v>0</x:v>
      </x:c>
      <x:c r="H130" s="68" t="n">
        <x:v>715.6530333333333</x:v>
      </x:c>
      <x:c r="I130" s="68" t="n">
        <x:v>715.6530333333333</x:v>
      </x:c>
      <x:c r="J130" s="68" t="n">
        <x:v>0</x:v>
      </x:c>
      <x:c r="K130" s="68" t="n">
        <x:v>0</x:v>
      </x:c>
      <x:c r="L130" s="68" t="n">
        <x:v>715.6530333333333</x:v>
      </x:c>
      <x:c r="M130" s="68" t="n">
        <x:v>0</x:v>
      </x:c>
      <x:c r="N130" s="68" t="n">
        <x:v>1995.170037037037</x:v>
      </x:c>
      <x:c r="O130" s="68" t="n">
        <x:v>1200</x:v>
      </x:c>
      <x:c r="P130" s="68" t="n">
        <x:f>C130*J130</x:f>
        <x:v>0</x:v>
      </x:c>
      <x:c r="Q130" s="68" t="n">
        <x:f>C130*I130</x:f>
        <x:v>998.4791121066665</x:v>
      </x:c>
      <x:c r="R130" s="65" t="n">
        <x:f>J130+G130+L130-F130-K130-M130</x:f>
        <x:v>0</x:v>
      </x:c>
      <x:c r="S130" s="65" t="n">
        <x:f>O130-N130-0.9*K130+L130/0.9</x:f>
        <x:v>0</x:v>
      </x:c>
      <x:c r="T130" s="67" t="n">
        <x:f>IF(AND(K130&gt;0.00001,L130&gt;0.00001),1,0)</x:f>
        <x:v>0</x:v>
      </x:c>
      <x:c r="U130" s="74" t="n">
        <x:f>N130/12000</x:f>
        <x:v>0.16626416975308642</x:v>
      </x:c>
    </x:row>
    <x:row r="131">
      <x:c r="A131" s="49" t="str">
        <x:v>20:50-21:00</x:v>
      </x:c>
      <x:c r="B131" s="67" t="n">
        <x:v>1250</x:v>
      </x:c>
      <x:c r="C131" s="73" t="n">
        <x:v>1.2226</x:v>
      </x:c>
      <x:c r="D131" s="68" t="n">
        <x:v>4295.2135</x:v>
      </x:c>
      <x:c r="E131" s="68" t="n">
        <x:v>0</x:v>
      </x:c>
      <x:c r="F131" s="68" t="n">
        <x:v>715.8689166666666</x:v>
      </x:c>
      <x:c r="G131" s="68" t="n">
        <x:v>0</x:v>
      </x:c>
      <x:c r="H131" s="68" t="n">
        <x:v>715.8689166666666</x:v>
      </x:c>
      <x:c r="I131" s="68" t="n">
        <x:v>715.8689166666666</x:v>
      </x:c>
      <x:c r="J131" s="68" t="n">
        <x:v>715.8689166666666</x:v>
      </x:c>
      <x:c r="K131" s="68" t="n">
        <x:v>0</x:v>
      </x:c>
      <x:c r="L131" s="68" t="n">
        <x:v>0</x:v>
      </x:c>
      <x:c r="M131" s="68" t="n">
        <x:v>0</x:v>
      </x:c>
      <x:c r="N131" s="68" t="n">
        <x:v>1200</x:v>
      </x:c>
      <x:c r="O131" s="68" t="n">
        <x:v>1200</x:v>
      </x:c>
      <x:c r="P131" s="68" t="n">
        <x:f>C131*J131</x:f>
        <x:v>875.2213375166665</x:v>
      </x:c>
      <x:c r="Q131" s="68" t="n">
        <x:f>C131*I131</x:f>
        <x:v>875.2213375166665</x:v>
      </x:c>
      <x:c r="R131" s="65" t="n">
        <x:f>J131+G131+L131-F131-K131-M131</x:f>
        <x:v>0</x:v>
      </x:c>
      <x:c r="S131" s="65" t="n">
        <x:f>O131-N131-0.9*K131+L131/0.9</x:f>
        <x:v>0</x:v>
      </x:c>
      <x:c r="T131" s="67" t="n">
        <x:f>IF(AND(K131&gt;0.00001,L131&gt;0.00001),1,0)</x:f>
        <x:v>0</x:v>
      </x:c>
      <x:c r="U131" s="74" t="n">
        <x:f>N131/12000</x:f>
        <x:v>0.1</x:v>
      </x:c>
    </x:row>
    <x:row r="132">
      <x:c r="A132" s="49" t="str">
        <x:v>21:00-21:10</x:v>
      </x:c>
      <x:c r="B132" s="67" t="n">
        <x:v>1260</x:v>
      </x:c>
      <x:c r="C132" s="73" t="n">
        <x:v>0.9332</x:v>
      </x:c>
      <x:c r="D132" s="68" t="n">
        <x:v>4302.0307</x:v>
      </x:c>
      <x:c r="E132" s="68" t="n">
        <x:v>0</x:v>
      </x:c>
      <x:c r="F132" s="68" t="n">
        <x:v>717.0051166666667</x:v>
      </x:c>
      <x:c r="G132" s="68" t="n">
        <x:v>0</x:v>
      </x:c>
      <x:c r="H132" s="68" t="n">
        <x:v>717.0051166666667</x:v>
      </x:c>
      <x:c r="I132" s="68" t="n">
        <x:v>717.0051166666667</x:v>
      </x:c>
      <x:c r="J132" s="68" t="n">
        <x:v>717.0051166666667</x:v>
      </x:c>
      <x:c r="K132" s="68" t="n">
        <x:v>0</x:v>
      </x:c>
      <x:c r="L132" s="68" t="n">
        <x:v>0</x:v>
      </x:c>
      <x:c r="M132" s="68" t="n">
        <x:v>0</x:v>
      </x:c>
      <x:c r="N132" s="68" t="n">
        <x:v>1200</x:v>
      </x:c>
      <x:c r="O132" s="68" t="n">
        <x:v>1200</x:v>
      </x:c>
      <x:c r="P132" s="68" t="n">
        <x:f>C132*J132</x:f>
        <x:v>669.1091748733334</x:v>
      </x:c>
      <x:c r="Q132" s="68" t="n">
        <x:f>C132*I132</x:f>
        <x:v>669.1091748733334</x:v>
      </x:c>
      <x:c r="R132" s="65" t="n">
        <x:f>J132+G132+L132-F132-K132-M132</x:f>
        <x:v>0</x:v>
      </x:c>
      <x:c r="S132" s="65" t="n">
        <x:f>O132-N132-0.9*K132+L132/0.9</x:f>
        <x:v>0</x:v>
      </x:c>
      <x:c r="T132" s="67" t="n">
        <x:f>IF(AND(K132&gt;0.00001,L132&gt;0.00001),1,0)</x:f>
        <x:v>0</x:v>
      </x:c>
      <x:c r="U132" s="74" t="n">
        <x:f>N132/12000</x:f>
        <x:v>0.1</x:v>
      </x:c>
    </x:row>
    <x:row r="133">
      <x:c r="A133" s="49" t="str">
        <x:v>21:10-21:20</x:v>
      </x:c>
      <x:c r="B133" s="67" t="n">
        <x:v>1270</x:v>
      </x:c>
      <x:c r="C133" s="73" t="n">
        <x:v>0.9068</x:v>
      </x:c>
      <x:c r="D133" s="68" t="n">
        <x:v>4320.9618</x:v>
      </x:c>
      <x:c r="E133" s="68" t="n">
        <x:v>0</x:v>
      </x:c>
      <x:c r="F133" s="68" t="n">
        <x:v>720.1603</x:v>
      </x:c>
      <x:c r="G133" s="68" t="n">
        <x:v>0</x:v>
      </x:c>
      <x:c r="H133" s="68" t="n">
        <x:v>720.1603</x:v>
      </x:c>
      <x:c r="I133" s="68" t="n">
        <x:v>720.1603</x:v>
      </x:c>
      <x:c r="J133" s="68" t="n">
        <x:v>720.1603</x:v>
      </x:c>
      <x:c r="K133" s="68" t="n">
        <x:v>0</x:v>
      </x:c>
      <x:c r="L133" s="68" t="n">
        <x:v>0</x:v>
      </x:c>
      <x:c r="M133" s="68" t="n">
        <x:v>0</x:v>
      </x:c>
      <x:c r="N133" s="68" t="n">
        <x:v>1200</x:v>
      </x:c>
      <x:c r="O133" s="68" t="n">
        <x:v>1200</x:v>
      </x:c>
      <x:c r="P133" s="68" t="n">
        <x:f>C133*J133</x:f>
        <x:v>653.0413600400001</x:v>
      </x:c>
      <x:c r="Q133" s="68" t="n">
        <x:f>C133*I133</x:f>
        <x:v>653.0413600400001</x:v>
      </x:c>
      <x:c r="R133" s="65" t="n">
        <x:f>J133+G133+L133-F133-K133-M133</x:f>
        <x:v>0</x:v>
      </x:c>
      <x:c r="S133" s="65" t="n">
        <x:f>O133-N133-0.9*K133+L133/0.9</x:f>
        <x:v>0</x:v>
      </x:c>
      <x:c r="T133" s="67" t="n">
        <x:f>IF(AND(K133&gt;0.00001,L133&gt;0.00001),1,0)</x:f>
        <x:v>0</x:v>
      </x:c>
      <x:c r="U133" s="74" t="n">
        <x:f>N133/12000</x:f>
        <x:v>0.1</x:v>
      </x:c>
    </x:row>
    <x:row r="134">
      <x:c r="A134" s="49" t="str">
        <x:v>21:20-21:30</x:v>
      </x:c>
      <x:c r="B134" s="67" t="n">
        <x:v>1280</x:v>
      </x:c>
      <x:c r="C134" s="73" t="n">
        <x:v>0.9371</x:v>
      </x:c>
      <x:c r="D134" s="68" t="n">
        <x:v>4302.3292</x:v>
      </x:c>
      <x:c r="E134" s="68" t="n">
        <x:v>0</x:v>
      </x:c>
      <x:c r="F134" s="68" t="n">
        <x:v>717.0548666666666</x:v>
      </x:c>
      <x:c r="G134" s="68" t="n">
        <x:v>0</x:v>
      </x:c>
      <x:c r="H134" s="68" t="n">
        <x:v>717.0548666666666</x:v>
      </x:c>
      <x:c r="I134" s="68" t="n">
        <x:v>717.0548666666666</x:v>
      </x:c>
      <x:c r="J134" s="68" t="n">
        <x:v>717.0548666666666</x:v>
      </x:c>
      <x:c r="K134" s="68" t="n">
        <x:v>0</x:v>
      </x:c>
      <x:c r="L134" s="68" t="n">
        <x:v>0</x:v>
      </x:c>
      <x:c r="M134" s="68" t="n">
        <x:v>0</x:v>
      </x:c>
      <x:c r="N134" s="68" t="n">
        <x:v>1200</x:v>
      </x:c>
      <x:c r="O134" s="68" t="n">
        <x:v>1200</x:v>
      </x:c>
      <x:c r="P134" s="68" t="n">
        <x:f>C134*J134</x:f>
        <x:v>671.9521155533333</x:v>
      </x:c>
      <x:c r="Q134" s="68" t="n">
        <x:f>C134*I134</x:f>
        <x:v>671.9521155533333</x:v>
      </x:c>
      <x:c r="R134" s="65" t="n">
        <x:f>J134+G134+L134-F134-K134-M134</x:f>
        <x:v>0</x:v>
      </x:c>
      <x:c r="S134" s="65" t="n">
        <x:f>O134-N134-0.9*K134+L134/0.9</x:f>
        <x:v>0</x:v>
      </x:c>
      <x:c r="T134" s="67" t="n">
        <x:f>IF(AND(K134&gt;0.00001,L134&gt;0.00001),1,0)</x:f>
        <x:v>0</x:v>
      </x:c>
      <x:c r="U134" s="74" t="n">
        <x:f>N134/12000</x:f>
        <x:v>0.1</x:v>
      </x:c>
    </x:row>
    <x:row r="135">
      <x:c r="A135" s="49" t="str">
        <x:v>21:30-21:40</x:v>
      </x:c>
      <x:c r="B135" s="67" t="n">
        <x:v>1290</x:v>
      </x:c>
      <x:c r="C135" s="73" t="n">
        <x:v>0.9371</x:v>
      </x:c>
      <x:c r="D135" s="68" t="n">
        <x:v>4322.6758</x:v>
      </x:c>
      <x:c r="E135" s="68" t="n">
        <x:v>0</x:v>
      </x:c>
      <x:c r="F135" s="68" t="n">
        <x:v>720.4459666666667</x:v>
      </x:c>
      <x:c r="G135" s="68" t="n">
        <x:v>0</x:v>
      </x:c>
      <x:c r="H135" s="68" t="n">
        <x:v>720.4459666666667</x:v>
      </x:c>
      <x:c r="I135" s="68" t="n">
        <x:v>720.4459666666667</x:v>
      </x:c>
      <x:c r="J135" s="68" t="n">
        <x:v>720.4459666666667</x:v>
      </x:c>
      <x:c r="K135" s="68" t="n">
        <x:v>0</x:v>
      </x:c>
      <x:c r="L135" s="68" t="n">
        <x:v>0</x:v>
      </x:c>
      <x:c r="M135" s="68" t="n">
        <x:v>0</x:v>
      </x:c>
      <x:c r="N135" s="68" t="n">
        <x:v>1200</x:v>
      </x:c>
      <x:c r="O135" s="68" t="n">
        <x:v>1200</x:v>
      </x:c>
      <x:c r="P135" s="68" t="n">
        <x:f>C135*J135</x:f>
        <x:v>675.1299153633333</x:v>
      </x:c>
      <x:c r="Q135" s="68" t="n">
        <x:f>C135*I135</x:f>
        <x:v>675.1299153633333</x:v>
      </x:c>
      <x:c r="R135" s="65" t="n">
        <x:f>J135+G135+L135-F135-K135-M135</x:f>
        <x:v>0</x:v>
      </x:c>
      <x:c r="S135" s="65" t="n">
        <x:f>O135-N135-0.9*K135+L135/0.9</x:f>
        <x:v>0</x:v>
      </x:c>
      <x:c r="T135" s="67" t="n">
        <x:f>IF(AND(K135&gt;0.00001,L135&gt;0.00001),1,0)</x:f>
        <x:v>0</x:v>
      </x:c>
      <x:c r="U135" s="74" t="n">
        <x:f>N135/12000</x:f>
        <x:v>0.1</x:v>
      </x:c>
    </x:row>
    <x:row r="136">
      <x:c r="A136" s="49" t="str">
        <x:v>21:40-21:50</x:v>
      </x:c>
      <x:c r="B136" s="67" t="n">
        <x:v>1300</x:v>
      </x:c>
      <x:c r="C136" s="73" t="n">
        <x:v>0.9871</x:v>
      </x:c>
      <x:c r="D136" s="68" t="n">
        <x:v>4428.8083</x:v>
      </x:c>
      <x:c r="E136" s="68" t="n">
        <x:v>0</x:v>
      </x:c>
      <x:c r="F136" s="68" t="n">
        <x:v>738.1347166666666</x:v>
      </x:c>
      <x:c r="G136" s="68" t="n">
        <x:v>0</x:v>
      </x:c>
      <x:c r="H136" s="68" t="n">
        <x:v>738.1347166666666</x:v>
      </x:c>
      <x:c r="I136" s="68" t="n">
        <x:v>738.1347166666666</x:v>
      </x:c>
      <x:c r="J136" s="68" t="n">
        <x:v>738.1347166666666</x:v>
      </x:c>
      <x:c r="K136" s="68" t="n">
        <x:v>0</x:v>
      </x:c>
      <x:c r="L136" s="68" t="n">
        <x:v>0</x:v>
      </x:c>
      <x:c r="M136" s="68" t="n">
        <x:v>0</x:v>
      </x:c>
      <x:c r="N136" s="68" t="n">
        <x:v>1200</x:v>
      </x:c>
      <x:c r="O136" s="68" t="n">
        <x:v>1200</x:v>
      </x:c>
      <x:c r="P136" s="68" t="n">
        <x:f>C136*J136</x:f>
        <x:v>728.6127788216666</x:v>
      </x:c>
      <x:c r="Q136" s="68" t="n">
        <x:f>C136*I136</x:f>
        <x:v>728.6127788216666</x:v>
      </x:c>
      <x:c r="R136" s="65" t="n">
        <x:f>J136+G136+L136-F136-K136-M136</x:f>
        <x:v>0</x:v>
      </x:c>
      <x:c r="S136" s="65" t="n">
        <x:f>O136-N136-0.9*K136+L136/0.9</x:f>
        <x:v>0</x:v>
      </x:c>
      <x:c r="T136" s="67" t="n">
        <x:f>IF(AND(K136&gt;0.00001,L136&gt;0.00001),1,0)</x:f>
        <x:v>0</x:v>
      </x:c>
      <x:c r="U136" s="74" t="n">
        <x:f>N136/12000</x:f>
        <x:v>0.1</x:v>
      </x:c>
    </x:row>
    <x:row r="137">
      <x:c r="A137" s="49" t="str">
        <x:v>21:50-22:00</x:v>
      </x:c>
      <x:c r="B137" s="67" t="n">
        <x:v>1310</x:v>
      </x:c>
      <x:c r="C137" s="73" t="n">
        <x:v>0.7764</x:v>
      </x:c>
      <x:c r="D137" s="68" t="n">
        <x:v>4030.1614</x:v>
      </x:c>
      <x:c r="E137" s="68" t="n">
        <x:v>0</x:v>
      </x:c>
      <x:c r="F137" s="68" t="n">
        <x:v>671.6935666666666</x:v>
      </x:c>
      <x:c r="G137" s="68" t="n">
        <x:v>0</x:v>
      </x:c>
      <x:c r="H137" s="68" t="n">
        <x:v>671.6935666666666</x:v>
      </x:c>
      <x:c r="I137" s="68" t="n">
        <x:v>671.6935666666666</x:v>
      </x:c>
      <x:c r="J137" s="68" t="n">
        <x:v>671.6935666666666</x:v>
      </x:c>
      <x:c r="K137" s="68" t="n">
        <x:v>0</x:v>
      </x:c>
      <x:c r="L137" s="68" t="n">
        <x:v>0</x:v>
      </x:c>
      <x:c r="M137" s="68" t="n">
        <x:v>0</x:v>
      </x:c>
      <x:c r="N137" s="68" t="n">
        <x:v>1200</x:v>
      </x:c>
      <x:c r="O137" s="68" t="n">
        <x:v>1200</x:v>
      </x:c>
      <x:c r="P137" s="68" t="n">
        <x:f>C137*J137</x:f>
        <x:v>521.5028851599999</x:v>
      </x:c>
      <x:c r="Q137" s="68" t="n">
        <x:f>C137*I137</x:f>
        <x:v>521.5028851599999</x:v>
      </x:c>
      <x:c r="R137" s="65" t="n">
        <x:f>J137+G137+L137-F137-K137-M137</x:f>
        <x:v>0</x:v>
      </x:c>
      <x:c r="S137" s="65" t="n">
        <x:f>O137-N137-0.9*K137+L137/0.9</x:f>
        <x:v>0</x:v>
      </x:c>
      <x:c r="T137" s="67" t="n">
        <x:f>IF(AND(K137&gt;0.00001,L137&gt;0.00001),1,0)</x:f>
        <x:v>0</x:v>
      </x:c>
      <x:c r="U137" s="74" t="n">
        <x:f>N137/12000</x:f>
        <x:v>0.1</x:v>
      </x:c>
    </x:row>
    <x:row r="138">
      <x:c r="A138" s="49" t="str">
        <x:v>22:00-22:10</x:v>
      </x:c>
      <x:c r="B138" s="67" t="n">
        <x:v>1320</x:v>
      </x:c>
      <x:c r="C138" s="73" t="n">
        <x:v>0.4209</x:v>
      </x:c>
      <x:c r="D138" s="68" t="n">
        <x:v>3362.7419</x:v>
      </x:c>
      <x:c r="E138" s="68" t="n">
        <x:v>0</x:v>
      </x:c>
      <x:c r="F138" s="68" t="n">
        <x:v>560.4569833333333</x:v>
      </x:c>
      <x:c r="G138" s="68" t="n">
        <x:v>0</x:v>
      </x:c>
      <x:c r="H138" s="68" t="n">
        <x:v>560.4569833333333</x:v>
      </x:c>
      <x:c r="I138" s="68" t="n">
        <x:v>560.4569833333333</x:v>
      </x:c>
      <x:c r="J138" s="68" t="n">
        <x:v>1393.7903166666665</x:v>
      </x:c>
      <x:c r="K138" s="68" t="n">
        <x:v>833.3333333333333</x:v>
      </x:c>
      <x:c r="L138" s="68" t="n">
        <x:v>0</x:v>
      </x:c>
      <x:c r="M138" s="68" t="n">
        <x:v>0</x:v>
      </x:c>
      <x:c r="N138" s="68" t="n">
        <x:v>1200</x:v>
      </x:c>
      <x:c r="O138" s="68" t="n">
        <x:v>1950</x:v>
      </x:c>
      <x:c r="P138" s="68" t="n">
        <x:f>C138*J138</x:f>
        <x:v>586.6463442849999</x:v>
      </x:c>
      <x:c r="Q138" s="68" t="n">
        <x:f>C138*I138</x:f>
        <x:v>235.89634428499997</x:v>
      </x:c>
      <x:c r="R138" s="65" t="n">
        <x:f>J138+G138+L138-F138-K138-M138</x:f>
        <x:v>0</x:v>
      </x:c>
      <x:c r="S138" s="65" t="n">
        <x:f>O138-N138-0.9*K138+L138/0.9</x:f>
        <x:v>0</x:v>
      </x:c>
      <x:c r="T138" s="67" t="n">
        <x:f>IF(AND(K138&gt;0.00001,L138&gt;0.00001),1,0)</x:f>
        <x:v>0</x:v>
      </x:c>
      <x:c r="U138" s="74" t="n">
        <x:f>N138/12000</x:f>
        <x:v>0.1</x:v>
      </x:c>
    </x:row>
    <x:row r="139">
      <x:c r="A139" s="49" t="str">
        <x:v>22:10-22:20</x:v>
      </x:c>
      <x:c r="B139" s="67" t="n">
        <x:v>1330</x:v>
      </x:c>
      <x:c r="C139" s="73" t="n">
        <x:v>0.3859</x:v>
      </x:c>
      <x:c r="D139" s="68" t="n">
        <x:v>3309.3934</x:v>
      </x:c>
      <x:c r="E139" s="68" t="n">
        <x:v>0</x:v>
      </x:c>
      <x:c r="F139" s="68" t="n">
        <x:v>551.5655666666667</x:v>
      </x:c>
      <x:c r="G139" s="68" t="n">
        <x:v>0</x:v>
      </x:c>
      <x:c r="H139" s="68" t="n">
        <x:v>551.5655666666667</x:v>
      </x:c>
      <x:c r="I139" s="68" t="n">
        <x:v>551.5655666666667</x:v>
      </x:c>
      <x:c r="J139" s="68" t="n">
        <x:v>1384.8989</x:v>
      </x:c>
      <x:c r="K139" s="68" t="n">
        <x:v>833.3333333333333</x:v>
      </x:c>
      <x:c r="L139" s="68" t="n">
        <x:v>0</x:v>
      </x:c>
      <x:c r="M139" s="68" t="n">
        <x:v>0</x:v>
      </x:c>
      <x:c r="N139" s="68" t="n">
        <x:v>1950</x:v>
      </x:c>
      <x:c r="O139" s="68" t="n">
        <x:v>2700</x:v>
      </x:c>
      <x:c r="P139" s="68" t="n">
        <x:f>C139*J139</x:f>
        <x:v>534.43248551</x:v>
      </x:c>
      <x:c r="Q139" s="68" t="n">
        <x:f>C139*I139</x:f>
        <x:v>212.84915217666668</x:v>
      </x:c>
      <x:c r="R139" s="65" t="n">
        <x:f>J139+G139+L139-F139-K139-M139</x:f>
        <x:v>0</x:v>
      </x:c>
      <x:c r="S139" s="65" t="n">
        <x:f>O139-N139-0.9*K139+L139/0.9</x:f>
        <x:v>0</x:v>
      </x:c>
      <x:c r="T139" s="67" t="n">
        <x:f>IF(AND(K139&gt;0.00001,L139&gt;0.00001),1,0)</x:f>
        <x:v>0</x:v>
      </x:c>
      <x:c r="U139" s="74" t="n">
        <x:f>N139/12000</x:f>
        <x:v>0.1625</x:v>
      </x:c>
    </x:row>
    <x:row r="140">
      <x:c r="A140" s="49" t="str">
        <x:v>22:20-22:30</x:v>
      </x:c>
      <x:c r="B140" s="67" t="n">
        <x:v>1340</x:v>
      </x:c>
      <x:c r="C140" s="73" t="n">
        <x:v>0.4368</x:v>
      </x:c>
      <x:c r="D140" s="68" t="n">
        <x:v>3412.9563</x:v>
      </x:c>
      <x:c r="E140" s="68" t="n">
        <x:v>0</x:v>
      </x:c>
      <x:c r="F140" s="68" t="n">
        <x:v>568.8260499999999</x:v>
      </x:c>
      <x:c r="G140" s="68" t="n">
        <x:v>0</x:v>
      </x:c>
      <x:c r="H140" s="68" t="n">
        <x:v>568.8260499999999</x:v>
      </x:c>
      <x:c r="I140" s="68" t="n">
        <x:v>568.8260499999999</x:v>
      </x:c>
      <x:c r="J140" s="68" t="n">
        <x:v>568.8260499999999</x:v>
      </x:c>
      <x:c r="K140" s="68" t="n">
        <x:v>0</x:v>
      </x:c>
      <x:c r="L140" s="68" t="n">
        <x:v>0</x:v>
      </x:c>
      <x:c r="M140" s="68" t="n">
        <x:v>0</x:v>
      </x:c>
      <x:c r="N140" s="68" t="n">
        <x:v>2700</x:v>
      </x:c>
      <x:c r="O140" s="68" t="n">
        <x:v>2700</x:v>
      </x:c>
      <x:c r="P140" s="68" t="n">
        <x:f>C140*J140</x:f>
        <x:v>248.46321863999998</x:v>
      </x:c>
      <x:c r="Q140" s="68" t="n">
        <x:f>C140*I140</x:f>
        <x:v>248.46321863999998</x:v>
      </x:c>
      <x:c r="R140" s="65" t="n">
        <x:f>J140+G140+L140-F140-K140-M140</x:f>
        <x:v>0</x:v>
      </x:c>
      <x:c r="S140" s="65" t="n">
        <x:f>O140-N140-0.9*K140+L140/0.9</x:f>
        <x:v>0</x:v>
      </x:c>
      <x:c r="T140" s="67" t="n">
        <x:f>IF(AND(K140&gt;0.00001,L140&gt;0.00001),1,0)</x:f>
        <x:v>0</x:v>
      </x:c>
      <x:c r="U140" s="74" t="n">
        <x:f>N140/12000</x:f>
        <x:v>0.225</x:v>
      </x:c>
    </x:row>
    <x:row r="141">
      <x:c r="A141" s="49" t="str">
        <x:v>22:30-22:40</x:v>
      </x:c>
      <x:c r="B141" s="67" t="n">
        <x:v>1350</x:v>
      </x:c>
      <x:c r="C141" s="73" t="n">
        <x:v>0.4198</x:v>
      </x:c>
      <x:c r="D141" s="68" t="n">
        <x:v>3381.9313</x:v>
      </x:c>
      <x:c r="E141" s="68" t="n">
        <x:v>0</x:v>
      </x:c>
      <x:c r="F141" s="68" t="n">
        <x:v>563.6552166666667</x:v>
      </x:c>
      <x:c r="G141" s="68" t="n">
        <x:v>0</x:v>
      </x:c>
      <x:c r="H141" s="68" t="n">
        <x:v>563.6552166666667</x:v>
      </x:c>
      <x:c r="I141" s="68" t="n">
        <x:v>563.6552166666667</x:v>
      </x:c>
      <x:c r="J141" s="68" t="n">
        <x:v>1396.98855</x:v>
      </x:c>
      <x:c r="K141" s="68" t="n">
        <x:v>833.3333333333333</x:v>
      </x:c>
      <x:c r="L141" s="68" t="n">
        <x:v>0</x:v>
      </x:c>
      <x:c r="M141" s="68" t="n">
        <x:v>0</x:v>
      </x:c>
      <x:c r="N141" s="68" t="n">
        <x:v>2700</x:v>
      </x:c>
      <x:c r="O141" s="68" t="n">
        <x:v>3450</x:v>
      </x:c>
      <x:c r="P141" s="68" t="n">
        <x:f>C141*J141</x:f>
        <x:v>586.45579329</x:v>
      </x:c>
      <x:c r="Q141" s="68" t="n">
        <x:f>C141*I141</x:f>
        <x:v>236.62245995666666</x:v>
      </x:c>
      <x:c r="R141" s="65" t="n">
        <x:f>J141+G141+L141-F141-K141-M141</x:f>
        <x:v>1.1368683772161603e-13</x:v>
      </x:c>
      <x:c r="S141" s="65" t="n">
        <x:f>O141-N141-0.9*K141+L141/0.9</x:f>
        <x:v>0</x:v>
      </x:c>
      <x:c r="T141" s="67" t="n">
        <x:f>IF(AND(K141&gt;0.00001,L141&gt;0.00001),1,0)</x:f>
        <x:v>0</x:v>
      </x:c>
      <x:c r="U141" s="74" t="n">
        <x:f>N141/12000</x:f>
        <x:v>0.225</x:v>
      </x:c>
    </x:row>
    <x:row r="142">
      <x:c r="A142" s="49" t="str">
        <x:v>22:40-22:50</x:v>
      </x:c>
      <x:c r="B142" s="67" t="n">
        <x:v>1360</x:v>
      </x:c>
      <x:c r="C142" s="73" t="n">
        <x:v>0.4186</x:v>
      </x:c>
      <x:c r="D142" s="68" t="n">
        <x:v>3386.5592</x:v>
      </x:c>
      <x:c r="E142" s="68" t="n">
        <x:v>0</x:v>
      </x:c>
      <x:c r="F142" s="68" t="n">
        <x:v>564.4265333333333</x:v>
      </x:c>
      <x:c r="G142" s="68" t="n">
        <x:v>0</x:v>
      </x:c>
      <x:c r="H142" s="68" t="n">
        <x:v>564.4265333333333</x:v>
      </x:c>
      <x:c r="I142" s="68" t="n">
        <x:v>564.4265333333333</x:v>
      </x:c>
      <x:c r="J142" s="68" t="n">
        <x:v>1397.7598666666665</x:v>
      </x:c>
      <x:c r="K142" s="68" t="n">
        <x:v>833.3333333333333</x:v>
      </x:c>
      <x:c r="L142" s="68" t="n">
        <x:v>0</x:v>
      </x:c>
      <x:c r="M142" s="68" t="n">
        <x:v>0</x:v>
      </x:c>
      <x:c r="N142" s="68" t="n">
        <x:v>3450</x:v>
      </x:c>
      <x:c r="O142" s="68" t="n">
        <x:v>4200</x:v>
      </x:c>
      <x:c r="P142" s="68" t="n">
        <x:f>C142*J142</x:f>
        <x:v>585.1022801866667</x:v>
      </x:c>
      <x:c r="Q142" s="68" t="n">
        <x:f>C142*I142</x:f>
        <x:v>236.26894685333332</x:v>
      </x:c>
      <x:c r="R142" s="65" t="n">
        <x:f>J142+G142+L142-F142-K142-M142</x:f>
        <x:v>0</x:v>
      </x:c>
      <x:c r="S142" s="65" t="n">
        <x:f>O142-N142-0.9*K142+L142/0.9</x:f>
        <x:v>0</x:v>
      </x:c>
      <x:c r="T142" s="67" t="n">
        <x:f>IF(AND(K142&gt;0.00001,L142&gt;0.00001),1,0)</x:f>
        <x:v>0</x:v>
      </x:c>
      <x:c r="U142" s="74" t="n">
        <x:f>N142/12000</x:f>
        <x:v>0.2875</x:v>
      </x:c>
    </x:row>
    <x:row r="143">
      <x:c r="A143" s="49" t="str">
        <x:v>22:50-23:00</x:v>
      </x:c>
      <x:c r="B143" s="67" t="n">
        <x:v>1370</x:v>
      </x:c>
      <x:c r="C143" s="73" t="n">
        <x:v>0.4241</x:v>
      </x:c>
      <x:c r="D143" s="68" t="n">
        <x:v>3400.4846</x:v>
      </x:c>
      <x:c r="E143" s="68" t="n">
        <x:v>0</x:v>
      </x:c>
      <x:c r="F143" s="68" t="n">
        <x:v>566.7474333333332</x:v>
      </x:c>
      <x:c r="G143" s="68" t="n">
        <x:v>0</x:v>
      </x:c>
      <x:c r="H143" s="68" t="n">
        <x:v>566.7474333333332</x:v>
      </x:c>
      <x:c r="I143" s="68" t="n">
        <x:v>566.7474333333332</x:v>
      </x:c>
      <x:c r="J143" s="68" t="n">
        <x:v>566.7474333333332</x:v>
      </x:c>
      <x:c r="K143" s="68" t="n">
        <x:v>0</x:v>
      </x:c>
      <x:c r="L143" s="68" t="n">
        <x:v>0</x:v>
      </x:c>
      <x:c r="M143" s="68" t="n">
        <x:v>0</x:v>
      </x:c>
      <x:c r="N143" s="68" t="n">
        <x:v>4200</x:v>
      </x:c>
      <x:c r="O143" s="68" t="n">
        <x:v>4200</x:v>
      </x:c>
      <x:c r="P143" s="68" t="n">
        <x:f>C143*J143</x:f>
        <x:v>240.3575864766666</x:v>
      </x:c>
      <x:c r="Q143" s="68" t="n">
        <x:f>C143*I143</x:f>
        <x:v>240.3575864766666</x:v>
      </x:c>
      <x:c r="R143" s="65" t="n">
        <x:f>J143+G143+L143-F143-K143-M143</x:f>
        <x:v>0</x:v>
      </x:c>
      <x:c r="S143" s="65" t="n">
        <x:f>O143-N143-0.9*K143+L143/0.9</x:f>
        <x:v>0</x:v>
      </x:c>
      <x:c r="T143" s="67" t="n">
        <x:f>IF(AND(K143&gt;0.00001,L143&gt;0.00001),1,0)</x:f>
        <x:v>0</x:v>
      </x:c>
      <x:c r="U143" s="74" t="n">
        <x:f>N143/12000</x:f>
        <x:v>0.35</x:v>
      </x:c>
    </x:row>
    <x:row r="144">
      <x:c r="A144" s="49" t="str">
        <x:v>23:00-23:10</x:v>
      </x:c>
      <x:c r="B144" s="67" t="n">
        <x:v>1380</x:v>
      </x:c>
      <x:c r="C144" s="73" t="n">
        <x:v>0.4237</x:v>
      </x:c>
      <x:c r="D144" s="68" t="n">
        <x:v>3399.2426</x:v>
      </x:c>
      <x:c r="E144" s="68" t="n">
        <x:v>0</x:v>
      </x:c>
      <x:c r="F144" s="68" t="n">
        <x:v>566.5404333333333</x:v>
      </x:c>
      <x:c r="G144" s="68" t="n">
        <x:v>0</x:v>
      </x:c>
      <x:c r="H144" s="68" t="n">
        <x:v>566.5404333333333</x:v>
      </x:c>
      <x:c r="I144" s="68" t="n">
        <x:v>566.5404333333333</x:v>
      </x:c>
      <x:c r="J144" s="68" t="n">
        <x:v>1399.8737666666666</x:v>
      </x:c>
      <x:c r="K144" s="68" t="n">
        <x:v>833.3333333333333</x:v>
      </x:c>
      <x:c r="L144" s="68" t="n">
        <x:v>0</x:v>
      </x:c>
      <x:c r="M144" s="68" t="n">
        <x:v>0</x:v>
      </x:c>
      <x:c r="N144" s="68" t="n">
        <x:v>4200</x:v>
      </x:c>
      <x:c r="O144" s="68" t="n">
        <x:v>4950</x:v>
      </x:c>
      <x:c r="P144" s="68" t="n">
        <x:f>C144*J144</x:f>
        <x:v>593.1265149366667</x:v>
      </x:c>
      <x:c r="Q144" s="68" t="n">
        <x:f>C144*I144</x:f>
        <x:v>240.04318160333335</x:v>
      </x:c>
      <x:c r="R144" s="65" t="n">
        <x:f>J144+G144+L144-F144-K144-M144</x:f>
        <x:v>0</x:v>
      </x:c>
      <x:c r="S144" s="65" t="n">
        <x:f>O144-N144-0.9*K144+L144/0.9</x:f>
        <x:v>0</x:v>
      </x:c>
      <x:c r="T144" s="67" t="n">
        <x:f>IF(AND(K144&gt;0.00001,L144&gt;0.00001),1,0)</x:f>
        <x:v>0</x:v>
      </x:c>
      <x:c r="U144" s="74" t="n">
        <x:f>N144/12000</x:f>
        <x:v>0.35</x:v>
      </x:c>
    </x:row>
    <x:row r="145">
      <x:c r="A145" s="49" t="str">
        <x:v>23:10-23:20</x:v>
      </x:c>
      <x:c r="B145" s="67" t="n">
        <x:v>1390</x:v>
      </x:c>
      <x:c r="C145" s="73" t="n">
        <x:v>0.4248</x:v>
      </x:c>
      <x:c r="D145" s="68" t="n">
        <x:v>3406.9809</x:v>
      </x:c>
      <x:c r="E145" s="68" t="n">
        <x:v>0</x:v>
      </x:c>
      <x:c r="F145" s="68" t="n">
        <x:v>567.83015</x:v>
      </x:c>
      <x:c r="G145" s="68" t="n">
        <x:v>0</x:v>
      </x:c>
      <x:c r="H145" s="68" t="n">
        <x:v>567.83015</x:v>
      </x:c>
      <x:c r="I145" s="68" t="n">
        <x:v>567.83015</x:v>
      </x:c>
      <x:c r="J145" s="68" t="n">
        <x:v>567.83015</x:v>
      </x:c>
      <x:c r="K145" s="68" t="n">
        <x:v>0</x:v>
      </x:c>
      <x:c r="L145" s="68" t="n">
        <x:v>0</x:v>
      </x:c>
      <x:c r="M145" s="68" t="n">
        <x:v>0</x:v>
      </x:c>
      <x:c r="N145" s="68" t="n">
        <x:v>4950</x:v>
      </x:c>
      <x:c r="O145" s="68" t="n">
        <x:v>4950</x:v>
      </x:c>
      <x:c r="P145" s="68" t="n">
        <x:f>C145*J145</x:f>
        <x:v>241.21424772</x:v>
      </x:c>
      <x:c r="Q145" s="68" t="n">
        <x:f>C145*I145</x:f>
        <x:v>241.21424772</x:v>
      </x:c>
      <x:c r="R145" s="65" t="n">
        <x:f>J145+G145+L145-F145-K145-M145</x:f>
        <x:v>0</x:v>
      </x:c>
      <x:c r="S145" s="65" t="n">
        <x:f>O145-N145-0.9*K145+L145/0.9</x:f>
        <x:v>0</x:v>
      </x:c>
      <x:c r="T145" s="67" t="n">
        <x:f>IF(AND(K145&gt;0.00001,L145&gt;0.00001),1,0)</x:f>
        <x:v>0</x:v>
      </x:c>
      <x:c r="U145" s="74" t="n">
        <x:f>N145/12000</x:f>
        <x:v>0.4125</x:v>
      </x:c>
    </x:row>
    <x:row r="146">
      <x:c r="A146" s="49" t="str">
        <x:v>23:20-23:30</x:v>
      </x:c>
      <x:c r="B146" s="67" t="n">
        <x:v>1400</x:v>
      </x:c>
      <x:c r="C146" s="73" t="n">
        <x:v>0.424</x:v>
      </x:c>
      <x:c r="D146" s="68" t="n">
        <x:v>3416.1518</x:v>
      </x:c>
      <x:c r="E146" s="68" t="n">
        <x:v>0</x:v>
      </x:c>
      <x:c r="F146" s="68" t="n">
        <x:v>569.3586333333333</x:v>
      </x:c>
      <x:c r="G146" s="68" t="n">
        <x:v>0</x:v>
      </x:c>
      <x:c r="H146" s="68" t="n">
        <x:v>569.3586333333333</x:v>
      </x:c>
      <x:c r="I146" s="68" t="n">
        <x:v>569.3586333333333</x:v>
      </x:c>
      <x:c r="J146" s="68" t="n">
        <x:v>902.6919666666666</x:v>
      </x:c>
      <x:c r="K146" s="68" t="n">
        <x:v>333.3333333333333</x:v>
      </x:c>
      <x:c r="L146" s="68" t="n">
        <x:v>0</x:v>
      </x:c>
      <x:c r="M146" s="68" t="n">
        <x:v>0</x:v>
      </x:c>
      <x:c r="N146" s="68" t="n">
        <x:v>4950</x:v>
      </x:c>
      <x:c r="O146" s="68" t="n">
        <x:v>5250</x:v>
      </x:c>
      <x:c r="P146" s="68" t="n">
        <x:f>C146*J146</x:f>
        <x:v>382.74139386666667</x:v>
      </x:c>
      <x:c r="Q146" s="68" t="n">
        <x:f>C146*I146</x:f>
        <x:v>241.4080605333333</x:v>
      </x:c>
      <x:c r="R146" s="65" t="n">
        <x:f>J146+G146+L146-F146-K146-M146</x:f>
        <x:v>5.684341886080802e-14</x:v>
      </x:c>
      <x:c r="S146" s="65" t="n">
        <x:f>O146-N146-0.9*K146+L146/0.9</x:f>
        <x:v>0</x:v>
      </x:c>
      <x:c r="T146" s="67" t="n">
        <x:f>IF(AND(K146&gt;0.00001,L146&gt;0.00001),1,0)</x:f>
        <x:v>0</x:v>
      </x:c>
      <x:c r="U146" s="74" t="n">
        <x:f>N146/12000</x:f>
        <x:v>0.4125</x:v>
      </x:c>
    </x:row>
    <x:row r="147">
      <x:c r="A147" s="49" t="str">
        <x:v>23:30-23:40</x:v>
      </x:c>
      <x:c r="B147" s="67" t="n">
        <x:v>1410</x:v>
      </x:c>
      <x:c r="C147" s="73" t="n">
        <x:v>0.422</x:v>
      </x:c>
      <x:c r="D147" s="68" t="n">
        <x:v>3421.9811</x:v>
      </x:c>
      <x:c r="E147" s="68" t="n">
        <x:v>0</x:v>
      </x:c>
      <x:c r="F147" s="68" t="n">
        <x:v>570.3301833333333</x:v>
      </x:c>
      <x:c r="G147" s="68" t="n">
        <x:v>0</x:v>
      </x:c>
      <x:c r="H147" s="68" t="n">
        <x:v>570.3301833333333</x:v>
      </x:c>
      <x:c r="I147" s="68" t="n">
        <x:v>570.3301833333333</x:v>
      </x:c>
      <x:c r="J147" s="68" t="n">
        <x:v>1403.6635166666665</x:v>
      </x:c>
      <x:c r="K147" s="68" t="n">
        <x:v>833.3333333333333</x:v>
      </x:c>
      <x:c r="L147" s="68" t="n">
        <x:v>0</x:v>
      </x:c>
      <x:c r="M147" s="68" t="n">
        <x:v>0</x:v>
      </x:c>
      <x:c r="N147" s="68" t="n">
        <x:v>5250</x:v>
      </x:c>
      <x:c r="O147" s="68" t="n">
        <x:v>6000</x:v>
      </x:c>
      <x:c r="P147" s="68" t="n">
        <x:f>C147*J147</x:f>
        <x:v>592.3460040333332</x:v>
      </x:c>
      <x:c r="Q147" s="68" t="n">
        <x:f>C147*I147</x:f>
        <x:v>240.67933736666663</x:v>
      </x:c>
      <x:c r="R147" s="65" t="n">
        <x:f>J147+G147+L147-F147-K147-M147</x:f>
        <x:v>0</x:v>
      </x:c>
      <x:c r="S147" s="65" t="n">
        <x:f>O147-N147-0.9*K147+L147/0.9</x:f>
        <x:v>0</x:v>
      </x:c>
      <x:c r="T147" s="67" t="n">
        <x:f>IF(AND(K147&gt;0.00001,L147&gt;0.00001),1,0)</x:f>
        <x:v>0</x:v>
      </x:c>
      <x:c r="U147" s="74" t="n">
        <x:f>N147/12000</x:f>
        <x:v>0.4375</x:v>
      </x:c>
    </x:row>
    <x:row r="148">
      <x:c r="A148" s="49" t="str">
        <x:v>23:40-23:50</x:v>
      </x:c>
      <x:c r="B148" s="67" t="n">
        <x:v>1420</x:v>
      </x:c>
      <x:c r="C148" s="73" t="n">
        <x:v>0.424</x:v>
      </x:c>
      <x:c r="D148" s="68" t="n">
        <x:v>3429.6923</x:v>
      </x:c>
      <x:c r="E148" s="68" t="n">
        <x:v>0</x:v>
      </x:c>
      <x:c r="F148" s="68" t="n">
        <x:v>571.6153833333333</x:v>
      </x:c>
      <x:c r="G148" s="68" t="n">
        <x:v>0</x:v>
      </x:c>
      <x:c r="H148" s="68" t="n">
        <x:v>571.6153833333333</x:v>
      </x:c>
      <x:c r="I148" s="68" t="n">
        <x:v>571.6153833333333</x:v>
      </x:c>
      <x:c r="J148" s="68" t="n">
        <x:v>571.6153833333333</x:v>
      </x:c>
      <x:c r="K148" s="68" t="n">
        <x:v>0</x:v>
      </x:c>
      <x:c r="L148" s="68" t="n">
        <x:v>0</x:v>
      </x:c>
      <x:c r="M148" s="68" t="n">
        <x:v>0</x:v>
      </x:c>
      <x:c r="N148" s="68" t="n">
        <x:v>6000</x:v>
      </x:c>
      <x:c r="O148" s="68" t="n">
        <x:v>6000</x:v>
      </x:c>
      <x:c r="P148" s="68" t="n">
        <x:f>C148*J148</x:f>
        <x:v>242.3649225333333</x:v>
      </x:c>
      <x:c r="Q148" s="68" t="n">
        <x:f>C148*I148</x:f>
        <x:v>242.3649225333333</x:v>
      </x:c>
      <x:c r="R148" s="65" t="n">
        <x:f>J148+G148+L148-F148-K148-M148</x:f>
        <x:v>0</x:v>
      </x:c>
      <x:c r="S148" s="65" t="n">
        <x:f>O148-N148-0.9*K148+L148/0.9</x:f>
        <x:v>0</x:v>
      </x:c>
      <x:c r="T148" s="67" t="n">
        <x:f>IF(AND(K148&gt;0.00001,L148&gt;0.00001),1,0)</x:f>
        <x:v>0</x:v>
      </x:c>
      <x:c r="U148" s="74" t="n">
        <x:f>N148/12000</x:f>
        <x:v>0.5</x:v>
      </x:c>
    </x:row>
    <x:row r="149">
      <x:c r="A149" s="49" t="str">
        <x:v>23:50-0:00+1</x:v>
      </x:c>
      <x:c r="B149" s="67" t="n">
        <x:v>1430</x:v>
      </x:c>
      <x:c r="C149" s="73" t="n">
        <x:v>0.4271</x:v>
      </x:c>
      <x:c r="D149" s="68" t="n">
        <x:v>3439.061</x:v>
      </x:c>
      <x:c r="E149" s="68" t="n">
        <x:v>0</x:v>
      </x:c>
      <x:c r="F149" s="68" t="n">
        <x:v>573.1768333333333</x:v>
      </x:c>
      <x:c r="G149" s="68" t="n">
        <x:v>0</x:v>
      </x:c>
      <x:c r="H149" s="68" t="n">
        <x:v>573.1768333333333</x:v>
      </x:c>
      <x:c r="I149" s="68" t="n">
        <x:v>573.1768333333333</x:v>
      </x:c>
      <x:c r="J149" s="68" t="n">
        <x:v>573.1768333333333</x:v>
      </x:c>
      <x:c r="K149" s="68" t="n">
        <x:v>0</x:v>
      </x:c>
      <x:c r="L149" s="68" t="n">
        <x:v>0</x:v>
      </x:c>
      <x:c r="M149" s="68" t="n">
        <x:v>0</x:v>
      </x:c>
      <x:c r="N149" s="68" t="n">
        <x:v>6000</x:v>
      </x:c>
      <x:c r="O149" s="68" t="n">
        <x:v>6000</x:v>
      </x:c>
      <x:c r="P149" s="68" t="n">
        <x:f>C149*J149</x:f>
        <x:v>244.80382551666665</x:v>
      </x:c>
      <x:c r="Q149" s="68" t="n">
        <x:f>C149*I149</x:f>
        <x:v>244.80382551666665</x:v>
      </x:c>
      <x:c r="R149" s="65" t="n">
        <x:f>J149+G149+L149-F149-K149-M149</x:f>
        <x:v>0</x:v>
      </x:c>
      <x:c r="S149" s="65" t="n">
        <x:f>O149-N149-0.9*K149+L149/0.9</x:f>
        <x:v>0</x:v>
      </x:c>
      <x:c r="T149" s="67" t="n">
        <x:f>IF(AND(K149&gt;0.00001,L149&gt;0.00001),1,0)</x:f>
        <x:v>0</x:v>
      </x:c>
      <x:c r="U149" s="74" t="n">
        <x:f>N149/12000</x:f>
        <x:v>0.5</x:v>
      </x:c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</x:row>
  </x:sheetData>
  <x:conditionalFormatting sqref="T6:T149">
    <x:cfRule type="cellIs" dxfId="0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6ea7bb5133d4e6f"/>
  </x:tableParts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54" hidden="0" customWidth="1"/>
    <x:col min="3" max="3" width="38" hidden="0" customWidth="1"/>
    <x:col min="4" max="4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>
      <x:c r="A2" s="2" t="str">
        <x:v>问题一统一模型口径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4" t="str">
        <x:v>后续问题如修改下列定义，应在对应 Issue 中说明原因及影响范围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>
      <x:c r="A4" s="3"/>
      <x:c r="B4" s="3"/>
      <x:c r="C4" s="3"/>
      <x:c r="D4" s="3"/>
      <x:c r="E4" s="3"/>
      <x:c r="F4" s="3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</x:row>
    <x:row r="6">
      <x:c r="A6" s="10" t="str">
        <x:v>参数表</x:v>
      </x:c>
      <x:c r="B6" s="11"/>
      <x:c r="C6" s="11"/>
      <x:c r="D6" s="12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</x:row>
    <x:row r="7">
      <x:c r="A7" s="24" t="str">
        <x:v>参数</x:v>
      </x:c>
      <x:c r="B7" s="25" t="str">
        <x:v>符号</x:v>
      </x:c>
      <x:c r="C7" s="25" t="str">
        <x:v>数值</x:v>
      </x:c>
      <x:c r="D7" s="26" t="str">
        <x:v>单位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</x:row>
    <x:row r="8">
      <x:c r="A8" s="27" t="str">
        <x:v>时间步长</x:v>
      </x:c>
      <x:c r="B8" s="27" t="str">
        <x:v>Δt</x:v>
      </x:c>
      <x:c r="C8" s="75" t="n">
        <x:v>0.16666666666666666</x:v>
      </x:c>
      <x:c r="D8" s="27" t="str">
        <x:v>h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</x:row>
    <x:row r="9">
      <x:c r="A9" s="28" t="str">
        <x:v>储能额定容量</x:v>
      </x:c>
      <x:c r="B9" s="28" t="str">
        <x:v>E</x:v>
      </x:c>
      <x:c r="C9" s="31" t="n">
        <x:v>12000</x:v>
      </x:c>
      <x:c r="D9" s="28" t="str">
        <x:v>kWh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</x:row>
    <x:row r="10">
      <x:c r="A10" s="28" t="str">
        <x:v>最低储电量</x:v>
      </x:c>
      <x:c r="B10" s="28" t="str">
        <x:v>Emin</x:v>
      </x:c>
      <x:c r="C10" s="31" t="n">
        <x:v>1200</x:v>
      </x:c>
      <x:c r="D10" s="28" t="str">
        <x:v>kWh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</x:row>
    <x:row r="11">
      <x:c r="A11" s="28" t="str">
        <x:v>最高储电量</x:v>
      </x:c>
      <x:c r="B11" s="28" t="str">
        <x:v>Emax</x:v>
      </x:c>
      <x:c r="C11" s="31" t="n">
        <x:v>10800</x:v>
      </x:c>
      <x:c r="D11" s="28" t="str">
        <x:v>kWh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</x:row>
    <x:row r="12">
      <x:c r="A12" s="28" t="str">
        <x:v>日初/日末储电量</x:v>
      </x:c>
      <x:c r="B12" s="28" t="str">
        <x:v>E0=ET</x:v>
      </x:c>
      <x:c r="C12" s="31" t="n">
        <x:v>6000</x:v>
      </x:c>
      <x:c r="D12" s="28" t="str">
        <x:v>kWh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</x:row>
    <x:row r="13">
      <x:c r="A13" s="28" t="str">
        <x:v>最大充放电功率</x:v>
      </x:c>
      <x:c r="B13" s="28" t="str">
        <x:v>Pmax</x:v>
      </x:c>
      <x:c r="C13" s="31" t="n">
        <x:v>5000</x:v>
      </x:c>
      <x:c r="D13" s="28" t="str">
        <x:v>kW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</x:row>
    <x:row r="14">
      <x:c r="A14" s="28" t="str">
        <x:v>充电效率</x:v>
      </x:c>
      <x:c r="B14" s="28" t="str">
        <x:v>ηc</x:v>
      </x:c>
      <x:c r="C14" s="32" t="n">
        <x:v>0.9</x:v>
      </x:c>
      <x:c r="D14" s="28" t="str">
        <x:v>-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</x:row>
    <x:row r="15">
      <x:c r="A15" s="29" t="str">
        <x:v>放电效率</x:v>
      </x:c>
      <x:c r="B15" s="29" t="str">
        <x:v>ηd</x:v>
      </x:c>
      <x:c r="C15" s="76" t="n">
        <x:v>0.9</x:v>
      </x:c>
      <x:c r="D15" s="29" t="str">
        <x:v>-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</x:row>
    <x:row r="17">
      <x:c r="A17" s="10" t="str">
        <x:v>统一定义与假设</x:v>
      </x:c>
      <x:c r="B17" s="11"/>
      <x:c r="C17" s="11"/>
      <x:c r="D17" s="11"/>
      <x:c r="E17" s="11"/>
      <x:c r="F17" s="12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</x:row>
    <x:row r="18">
      <x:c r="A18" s="24" t="str">
        <x:v>类别</x:v>
      </x:c>
      <x:c r="B18" s="25" t="str">
        <x:v>统一口径</x:v>
      </x:c>
      <x:c r="C18" s="26" t="str">
        <x:v>后续使用要求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</x:row>
    <x:row r="19" ht="24" hidden="0" customHeight="1">
      <x:c r="A19" s="79" t="str">
        <x:v>时间索引</x:v>
      </x:c>
      <x:c r="B19" s="79" t="str">
        <x:v>每个数据点代表对应十分钟时段的平均功率；0:00+1 作为周期端点并映射至 0:00。</x:v>
      </x:c>
      <x:c r="C19" s="79" t="str">
        <x:v>结果写回时恢复题目模板顺序。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</x:row>
    <x:row r="20" ht="15" hidden="0" customHeight="1">
      <x:c r="A20" s="80" t="str">
        <x:v>单位换算</x:v>
      </x:c>
      <x:c r="B20" s="80" t="str">
        <x:v>功率乘 1/6 h 转换为时段电量，优化中的能量变量均使用 kWh。</x:v>
      </x:c>
      <x:c r="C20" s="80" t="str">
        <x:v>禁止直接将 kW 与 kWh 相加。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</x:row>
    <x:row r="21" ht="15" hidden="0" customHeight="1">
      <x:c r="A21" s="80" t="str">
        <x:v>变量位置</x:v>
      </x:c>
      <x:c r="B21" s="80" t="str">
        <x:v>充电量和放电量均定义为交流母线侧电量。</x:v>
      </x:c>
      <x:c r="C21" s="80" t="str">
        <x:v>后续模型不得在母线平衡式中重复计入效率。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</x:row>
    <x:row r="22" ht="15" hidden="0" customHeight="1">
      <x:c r="A22" s="80" t="str">
        <x:v>状态转移</x:v>
      </x:c>
      <x:c r="B22" s="80" t="str">
        <x:v>期末储电量 = 期初储电量 + 0.9×充电量 - 放电量/0.9。</x:v>
      </x:c>
      <x:c r="C22" s="80" t="str">
        <x:v>问题二至四沿用同一状态方程。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</x:row>
    <x:row r="23" ht="15" hidden="0" customHeight="1">
      <x:c r="A23" s="80" t="str">
        <x:v>电网交互</x:v>
      </x:c>
      <x:c r="B23" s="80" t="str">
        <x:v>微网只能从外网购电，不允许反向售电。</x:v>
      </x:c>
      <x:c r="C23" s="80" t="str">
        <x:v>购电量保持非负。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</x:row>
    <x:row r="24" ht="15" hidden="0" customHeight="1">
      <x:c r="A24" s="80" t="str">
        <x:v>光伏消纳</x:v>
      </x:c>
      <x:c r="B24" s="80" t="str">
        <x:v>光伏优先满足负荷或用于充电，未利用部分记为弃光。</x:v>
      </x:c>
      <x:c r="C24" s="80" t="str">
        <x:v>弃光量应单独统计。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  <x:row r="25" ht="15" hidden="0" customHeight="1">
      <x:c r="A25" s="80" t="str">
        <x:v>周期边界</x:v>
      </x:c>
      <x:c r="B25" s="80" t="str">
        <x:v>问题一规定 0:00 与 24:00 储电量均为 6000 kWh。</x:v>
      </x:c>
      <x:c r="C25" s="80" t="str">
        <x:v>后续问题应明确日末状态或跨日衔接方式。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</x:row>
    <x:row r="26" ht="15" hidden="0" customHeight="1">
      <x:c r="A26" s="80" t="str">
        <x:v>成本口径</x:v>
      </x:c>
      <x:c r="B26" s="80" t="str">
        <x:v>问题一仅统计外网购电费用，不计储能衰减成本。</x:v>
      </x:c>
      <x:c r="C26" s="80" t="str">
        <x:v>新增成本项必须说明依据与单位。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</x:row>
    <x:row r="27" ht="15" hidden="0" customHeight="1">
      <x:c r="A27" s="81" t="str">
        <x:v>退化解处理</x:v>
      </x:c>
      <x:c r="B27" s="81" t="str">
        <x:v>先最小化购电费用，再在最优费用不变时最小化充放电总量。</x:v>
      </x:c>
      <x:c r="C27" s="81" t="str">
        <x:v>用于排除非必要的同时充放电。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 ht="15" hidden="0" customHeight="1">
      <x:c r="A29" s="10" t="str">
        <x:v>问题一信息边界与基准定义</x:v>
      </x:c>
      <x:c r="B29" s="11"/>
      <x:c r="C29" s="11"/>
      <x:c r="D29" s="11"/>
      <x:c r="E29" s="11"/>
      <x:c r="F29" s="12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</x:row>
    <x:row r="30" ht="15" hidden="0" customHeight="1">
      <x:c r="A30" s="24" t="str">
        <x:v>项目</x:v>
      </x:c>
      <x:c r="B30" s="25" t="str">
        <x:v>定义</x:v>
      </x:c>
      <x:c r="C30" s="26" t="str">
        <x:v>说明</x:v>
      </x:c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 ht="15" hidden="0" customHeight="1">
      <x:c r="A31" s="79" t="str">
        <x:v>可用信息</x:v>
      </x:c>
      <x:c r="B31" s="79" t="str">
        <x:v>全天电价、负荷和光伏预测序列，以及 0:00 初始储电量。</x:v>
      </x:c>
      <x:c r="C31" s="79" t="str">
        <x:v>问题一视为完全信息确定性优化。</x:v>
      </x:c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 ht="15" hidden="0" customHeight="1">
      <x:c r="A32" s="80" t="str">
        <x:v>不可引入信息</x:v>
      </x:c>
      <x:c r="B32" s="80" t="str">
        <x:v>题目未提供的线路损耗、自放电、温度效应、爬坡过程和电池衰减参数。</x:v>
      </x:c>
      <x:c r="C32" s="80" t="str">
        <x:v>若后续引入，应提供资料来源和敏感性分析。</x:v>
      </x:c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 ht="15" hidden="0" customHeight="1">
      <x:c r="A33" s="80" t="str">
        <x:v>基准方案</x:v>
      </x:c>
      <x:c r="B33" s="80" t="str">
        <x:v>储能不参与运行，光伏优先满足负荷，不足部分从外网购电。</x:v>
      </x:c>
      <x:c r="C33" s="80" t="str">
        <x:v>用于量化储能调度的经济效益。</x:v>
      </x:c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 ht="15" hidden="0" customHeight="1">
      <x:c r="A34" s="81" t="str">
        <x:v>结果精度</x:v>
      </x:c>
      <x:c r="B34" s="81" t="str">
        <x:v>内部计算保留双精度，输出结果保留 4 位小数。</x:v>
      </x:c>
      <x:c r="C34" s="81" t="str">
        <x:v>比较方案时使用未四舍五入的内部结果。</x:v>
      </x:c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</x:row>
  </x:sheetData>
  <x:pageMargins left="0.7" right="0.7" top="0.75" bottom="0.75" header="0.3" footer="0.3"/>
</x:worksheet>
</file>